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b40ca9c8f41c40e2" /></Relationships>
</file>

<file path=xl/workbook.xml><?xml version="1.0" encoding="utf-8"?>
<x:workbook xmlns:x="http://schemas.openxmlformats.org/spreadsheetml/2006/main">
  <x:sheets>
    <x:sheet xmlns:r="http://schemas.openxmlformats.org/officeDocument/2006/relationships" name="jobs" sheetId="1" r:id="R2049ba62f23244e4"/>
    <x:sheet xmlns:r="http://schemas.openxmlformats.org/officeDocument/2006/relationships" name="config" sheetId="2" r:id="Rc7c31c87cc104b7a"/>
    <x:sheet xmlns:r="http://schemas.openxmlformats.org/officeDocument/2006/relationships" name="README" sheetId="3" r:id="Rdeb53d47540a4816"/>
    <x:sheet xmlns:r="http://schemas.openxmlformats.org/officeDocument/2006/relationships" name="manifest" sheetId="4" r:id="R6000a4406a6c4cad"/>
    <x:sheet xmlns:r="http://schemas.openxmlformats.org/officeDocument/2006/relationships" name="source_map" sheetId="5" r:id="R085d3eb2dd094f21"/>
    <x:sheet xmlns:r="http://schemas.openxmlformats.org/officeDocument/2006/relationships" name="references" sheetId="6" r:id="R52e7d13266e74de3"/>
    <x:sheet xmlns:r="http://schemas.openxmlformats.org/officeDocument/2006/relationships" name="QC" sheetId="7" r:id="R9a33f7cd598d43dd"/>
  </x:sheets>
</x:workbook>
</file>

<file path=xl/comments1.xml><?xml version="1.0" encoding="utf-8"?>
<x:comments xmlns:x="http://schemas.openxmlformats.org/spreadsheetml/2006/main">
  <x:authors>
    <x:author>Claude</x:author>
  </x:authors>
  <x:commentList>
    <x:comment ref="A1" authorId="0">
      <x:text>
        <x:r>
          <x:t>CHỈ ĐỂ ANH DỄ ĐẾM/GỌI. Extension không đọc cột này -- đánh số sẵn, không ảnh hưởng gì đến việc chạy.</x:t>
        </x:r>
      </x:text>
    </x:comment>
    <x:comment ref="B1" authorId="0">
      <x:text>
        <x:r>
          <x:t>BẮT BUỘC. Số thứ tự hoặc tên duy nhất cho mỗi prompt (vd: 1, 2, 3... -- có thể gõ trùng số ở cột STT bên trái cho dễ nhớ). Không được trùng nhau.</x:t>
        </x:r>
      </x:text>
    </x:comment>
    <x:comment ref="C1" authorId="0">
      <x:text>
        <x:r>
          <x:t>BẮT BUỘC. Nội dung prompt bạn muốn AI vẽ. Paste thẳng vào đây.</x:t>
        </x:r>
      </x:text>
    </x:comment>
    <x:comment ref="D1" authorId="0">
      <x:text>
        <x:r>
          <x:t>KHÔNG bắt buộc. Chỉ điền nếu prompt này cần ảnh tham chiếu. Gõ đúng tên file ảnh (vd: Duc1.jpg); nhiều ảnh cách nhau bởi dấu | (vd: Duc1.jpg|Meo1.png). Để trống nếu không dùng ảnh tham chiếu.</x:t>
        </x:r>
      </x:text>
    </x:comment>
  </x:commentList>
</x:comments>
</file>

<file path=xl/comments2.xml><?xml version="1.0" encoding="utf-8"?>
<x:comments xmlns:x="http://schemas.openxmlformats.org/spreadsheetml/2006/main">
  <x:authors>
    <x:author>Claude</x:author>
  </x:authors>
  <x:commentList>
    <x:comment ref="A1" authorId="0">
      <x:text>
        <x:r>
          <x:t>KHÔNG bắt buộc. Để trống cả sheet này thì extension tự dùng mặc định (lưu vào Downloads/Duc Auto ChatGPT, giữ cả 2 bản nếu trùng tên...). Chỉ thêm dòng vào đây nếu bạn muốn ĐỔI một cài đặt cụ thể, vd: output_folder, delay_min_sec, collision_policy. Xem DAC_XLSX_RUN_PLAN_V1.md để biết danh sách key hỗ trợ.</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color theme="1"/>
      <x:name val="Calibri"/>
    </x:font>
    <x:font>
      <x:b/>
      <x:sz val="11"/>
    </x:font>
    <x:font>
      <x:b/>
      <x:sz val="11"/>
      <x:color rgb="FFFFFFFF"/>
      <x:name val="Calibri"/>
    </x:font>
    <x:font>
      <x:b/>
      <x:sz val="11"/>
      <x:color rgb="FF17365D"/>
      <x:name val="Calibri"/>
    </x:font>
    <x:font>
      <x:b/>
      <x:sz val="11"/>
      <x:color theme="1"/>
      <x:name val="Calibri"/>
    </x:font>
  </x:fonts>
  <x:fills count="7">
    <x:fill>
      <x:patternFill patternType="none"/>
    </x:fill>
    <x:fill>
      <x:patternFill patternType="gray125"/>
    </x:fill>
    <x:fill>
      <x:patternFill patternType="solid">
        <x:fgColor rgb="FFDDEBF7"/>
      </x:patternFill>
    </x:fill>
    <x:fill>
      <x:patternFill patternType="solid">
        <x:fgColor rgb="FFFFFF99"/>
      </x:patternFill>
    </x:fill>
    <x:fill>
      <x:patternFill patternType="solid">
        <x:fgColor rgb="FFE7E6E6"/>
      </x:patternFill>
    </x:fill>
    <x:fill>
      <x:patternFill patternType="solid">
        <x:fgColor rgb="FF17365D"/>
      </x:patternFill>
    </x:fill>
    <x:fill>
      <x:patternFill patternType="solid">
        <x:fgColor rgb="FFD9EAF7"/>
      </x:patternFill>
    </x:fill>
  </x:fills>
  <x:borders count="22">
    <x:border/>
    <x:border>
      <x:left style="thin">
        <x:color rgb="FF9FBAD0"/>
      </x:left>
      <x:top style="thin">
        <x:color rgb="FF9FBAD0"/>
      </x:top>
      <x:bottom style="thin">
        <x:color rgb="FF9FBAD0"/>
      </x:bottom>
    </x:border>
    <x:border>
      <x:top style="thin">
        <x:color rgb="FF9FBAD0"/>
      </x:top>
      <x:bottom style="thin">
        <x:color rgb="FF9FBAD0"/>
      </x:bottom>
    </x:border>
    <x:border>
      <x:right style="thin">
        <x:color rgb="FF9FBAD0"/>
      </x:right>
      <x:top style="thin">
        <x:color rgb="FF9FBAD0"/>
      </x:top>
      <x:bottom style="thin">
        <x:color rgb="FF9FBAD0"/>
      </x:bottom>
    </x:border>
    <x:border>
      <x:right style="thin">
        <x:color rgb="FFDCE6F1"/>
      </x:right>
      <x:bottom style="thin">
        <x:color rgb="FFDCE6F1"/>
      </x:bottom>
    </x:border>
    <x:border>
      <x:left style="thin">
        <x:color rgb="FFDCE6F1"/>
      </x:left>
      <x:right style="thin">
        <x:color rgb="FFDCE6F1"/>
      </x:right>
      <x:bottom style="thin">
        <x:color rgb="FFDCE6F1"/>
      </x:bottom>
    </x:border>
    <x:border>
      <x:left style="thin">
        <x:color rgb="FFDCE6F1"/>
      </x:left>
      <x:bottom style="thin">
        <x:color rgb="FFDCE6F1"/>
      </x:bottom>
    </x:border>
    <x:border>
      <x:right style="thin">
        <x:color rgb="FFDCE6F1"/>
      </x:right>
      <x:top style="thin">
        <x:color rgb="FFDCE6F1"/>
      </x:top>
      <x:bottom style="thin">
        <x:color rgb="FFDCE6F1"/>
      </x:bottom>
    </x:border>
    <x:border>
      <x:left style="thin">
        <x:color rgb="FFDCE6F1"/>
      </x:left>
      <x:right style="thin">
        <x:color rgb="FFDCE6F1"/>
      </x:right>
      <x:top style="thin">
        <x:color rgb="FFDCE6F1"/>
      </x:top>
      <x:bottom style="thin">
        <x:color rgb="FFDCE6F1"/>
      </x:bottom>
    </x:border>
    <x:border>
      <x:left style="thin">
        <x:color rgb="FFDCE6F1"/>
      </x:left>
      <x:top style="thin">
        <x:color rgb="FFDCE6F1"/>
      </x:top>
      <x:bottom style="thin">
        <x:color rgb="FFDCE6F1"/>
      </x:bottom>
    </x:border>
    <x:border>
      <x:right style="thin">
        <x:color rgb="FFDCE6F1"/>
      </x:right>
      <x:top style="thin">
        <x:color rgb="FFDCE6F1"/>
      </x:top>
    </x:border>
    <x:border>
      <x:left style="thin">
        <x:color rgb="FFDCE6F1"/>
      </x:left>
      <x:right style="thin">
        <x:color rgb="FFDCE6F1"/>
      </x:right>
      <x:top style="thin">
        <x:color rgb="FFDCE6F1"/>
      </x:top>
    </x:border>
    <x:border>
      <x:left style="thin">
        <x:color rgb="FFDCE6F1"/>
      </x:left>
      <x:top style="thin">
        <x:color rgb="FFDCE6F1"/>
      </x:top>
    </x:border>
    <x:border>
      <x:right style="thin">
        <x:color rgb="FFB8CCE4"/>
      </x:right>
      <x:bottom style="thin">
        <x:color rgb="FFB8CCE4"/>
      </x:bottom>
    </x:border>
    <x:border>
      <x:left style="thin">
        <x:color rgb="FFB8CCE4"/>
      </x:left>
      <x:bottom style="thin">
        <x:color rgb="FFB8CCE4"/>
      </x:bottom>
    </x:border>
    <x:border>
      <x:right style="thin">
        <x:color rgb="FFB8CCE4"/>
      </x:right>
      <x:top style="thin">
        <x:color rgb="FFB8CCE4"/>
      </x:top>
      <x:bottom style="thin">
        <x:color rgb="FFB8CCE4"/>
      </x:bottom>
    </x:border>
    <x:border>
      <x:left style="thin">
        <x:color rgb="FFB8CCE4"/>
      </x:left>
      <x:top style="thin">
        <x:color rgb="FFB8CCE4"/>
      </x:top>
      <x:bottom style="thin">
        <x:color rgb="FFB8CCE4"/>
      </x:bottom>
    </x:border>
    <x:border>
      <x:right style="thin">
        <x:color rgb="FFB8CCE4"/>
      </x:right>
      <x:top style="thin">
        <x:color rgb="FFB8CCE4"/>
      </x:top>
    </x:border>
    <x:border>
      <x:left style="thin">
        <x:color rgb="FFB8CCE4"/>
      </x:left>
      <x:top style="thin">
        <x:color rgb="FFB8CCE4"/>
      </x:top>
    </x:border>
    <x:border>
      <x:left style="thin">
        <x:color rgb="FFB8CCE4"/>
      </x:left>
      <x:right style="thin">
        <x:color rgb="FFB8CCE4"/>
      </x:right>
      <x:bottom style="thin">
        <x:color rgb="FFB8CCE4"/>
      </x:bottom>
    </x:border>
    <x:border>
      <x:left style="thin">
        <x:color rgb="FFB8CCE4"/>
      </x:left>
      <x:right style="thin">
        <x:color rgb="FFB8CCE4"/>
      </x:right>
      <x:top style="thin">
        <x:color rgb="FFB8CCE4"/>
      </x:top>
      <x:bottom style="thin">
        <x:color rgb="FFB8CCE4"/>
      </x:bottom>
    </x:border>
    <x:border>
      <x:left style="thin">
        <x:color rgb="FFB8CCE4"/>
      </x:left>
      <x:right style="thin">
        <x:color rgb="FFB8CCE4"/>
      </x:right>
      <x:top style="thin">
        <x:color rgb="FFB8CCE4"/>
      </x:top>
    </x:border>
  </x:borders>
  <x:cellStyleXfs count="1">
    <x:xf numFmtId="0" fontId="0" fillId="0" borderId="0"/>
  </x:cellStyleXfs>
  <x:cellXfs count="83">
    <x:xf numFmtId="0" fontId="0" fillId="0" borderId="0" xfId="0"/>
    <x:xf numFmtId="0" fontId="1" fillId="2" borderId="0" xfId="0"/>
    <x:xf numFmtId="0" fontId="1" fillId="3" borderId="0" xfId="0"/>
    <x:xf numFmtId="0" fontId="1" fillId="4" borderId="0" xfId="0"/>
    <x:xf numFmtId="0" fontId="0" fillId="5" borderId="0" xfId="0" applyNumberFormat="1" applyFont="1" applyFill="1" applyBorder="1"/>
    <x:xf numFmtId="0" fontId="2" fillId="5" borderId="0" xfId="0" applyNumberFormat="1" applyFont="1" applyFill="1" applyBorder="1"/>
    <x:xf numFmtId="0" fontId="2" fillId="5" borderId="1" xfId="0" applyNumberFormat="1" applyFont="1" applyFill="1" applyBorder="1"/>
    <x:xf numFmtId="0" fontId="2" fillId="5" borderId="2" xfId="0" applyNumberFormat="1" applyFont="1" applyFill="1" applyBorder="1"/>
    <x:xf numFmtId="0" fontId="2" fillId="5" borderId="3" xfId="0" applyNumberFormat="1" applyFont="1" applyFill="1" applyBorder="1"/>
    <x:xf numFmtId="0" fontId="2" fillId="5" borderId="1" xfId="0" applyNumberFormat="1" applyFont="1" applyFill="1" applyBorder="1" applyAlignment="1">
      <x:alignment horizontal="center"/>
    </x:xf>
    <x:xf numFmtId="0" fontId="2" fillId="5" borderId="2" xfId="0" applyNumberFormat="1" applyFont="1" applyFill="1" applyBorder="1" applyAlignment="1">
      <x:alignment horizontal="center"/>
    </x:xf>
    <x:xf numFmtId="0" fontId="2" fillId="5" borderId="3" xfId="0" applyNumberFormat="1" applyFont="1" applyFill="1" applyBorder="1" applyAlignment="1">
      <x:alignment horizontal="center"/>
    </x:xf>
    <x:xf numFmtId="0" fontId="2" fillId="5" borderId="1" xfId="0" applyNumberFormat="1" applyFont="1" applyFill="1" applyBorder="1" applyAlignment="1">
      <x:alignment horizontal="center" vertical="center"/>
    </x:xf>
    <x:xf numFmtId="0" fontId="2" fillId="5" borderId="2" xfId="0" applyNumberFormat="1" applyFont="1" applyFill="1" applyBorder="1" applyAlignment="1">
      <x:alignment horizontal="center" vertical="center"/>
    </x:xf>
    <x:xf numFmtId="0" fontId="2" fillId="5" borderId="3" xfId="0" applyNumberFormat="1" applyFont="1" applyFill="1" applyBorder="1" applyAlignment="1">
      <x:alignment horizontal="center" vertical="center"/>
    </x:xf>
    <x:xf numFmtId="200" fontId="0" fillId="0" borderId="0" xfId="0" applyNumberFormat="1" applyFont="1" applyFill="1" applyBorder="1"/>
    <x:xf numFmtId="200" fontId="0" fillId="0" borderId="0" xfId="0" applyNumberFormat="1" applyFont="1" applyFill="1" applyBorder="1" applyAlignment="1">
      <x:alignment horizontal="center"/>
    </x:xf>
    <x:xf numFmtId="200" fontId="0" fillId="0" borderId="0" xfId="0" applyNumberFormat="1" applyFont="1" applyFill="1" applyBorder="1" applyAlignment="1">
      <x:alignment horizontal="center"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4" xfId="0" applyNumberFormat="1" applyFont="1" applyFill="1" applyBorder="1" applyAlignment="1">
      <x:alignment horizontal="center" vertical="top"/>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200" fontId="0" fillId="0" borderId="7" xfId="0" applyNumberFormat="1" applyFont="1" applyFill="1" applyBorder="1" applyAlignment="1">
      <x:alignment horizontal="center" vertical="top"/>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200" fontId="0" fillId="0" borderId="10" xfId="0" applyNumberFormat="1" applyFont="1" applyFill="1" applyBorder="1" applyAlignment="1">
      <x:alignment horizontal="center" vertical="top"/>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2" fillId="5" borderId="0" xfId="0" applyNumberFormat="1" applyFont="1" applyFill="1" applyBorder="1" applyAlignment="1">
      <x:alignment horizontal="center"/>
    </x:xf>
    <x:xf numFmtId="0" fontId="3" fillId="0" borderId="0" xfId="0" applyNumberFormat="1" applyFont="1" applyFill="1" applyBorder="1"/>
    <x:xf numFmtId="0" fontId="2" fillId="5" borderId="4" xfId="0" applyNumberFormat="1" applyFont="1" applyFill="1" applyBorder="1" applyAlignment="1">
      <x:alignment horizontal="center"/>
    </x:xf>
    <x:xf numFmtId="0" fontId="2" fillId="5" borderId="6" xfId="0" applyNumberFormat="1" applyFont="1" applyFill="1" applyBorder="1" applyAlignment="1">
      <x:alignment horizontal="center"/>
    </x:xf>
    <x:xf numFmtId="0" fontId="3" fillId="0" borderId="7" xfId="0" applyNumberFormat="1" applyFont="1" applyFill="1" applyBorder="1"/>
    <x:xf numFmtId="0" fontId="0" fillId="0" borderId="9" xfId="0" applyNumberFormat="1" applyFont="1" applyFill="1" applyBorder="1"/>
    <x:xf numFmtId="0" fontId="3" fillId="0" borderId="10" xfId="0" applyNumberFormat="1" applyFont="1" applyFill="1" applyBorder="1"/>
    <x:xf numFmtId="0" fontId="0" fillId="0" borderId="12" xfId="0" applyNumberFormat="1" applyFont="1" applyFill="1" applyBorder="1"/>
    <x:xf numFmtId="0" fontId="2" fillId="5" borderId="4" xfId="0" applyNumberFormat="1" applyFont="1" applyFill="1" applyBorder="1" applyAlignment="1">
      <x:alignment horizontal="center" wrapText="1"/>
    </x:xf>
    <x:xf numFmtId="0" fontId="2" fillId="5" borderId="6" xfId="0" applyNumberFormat="1" applyFont="1" applyFill="1" applyBorder="1" applyAlignment="1">
      <x:alignment horizontal="center" wrapText="1"/>
    </x:xf>
    <x:xf numFmtId="0" fontId="3" fillId="0" borderId="7" xfId="0" applyNumberFormat="1" applyFont="1" applyFill="1" applyBorder="1" applyAlignment="1">
      <x:alignment wrapText="1"/>
    </x:xf>
    <x:xf numFmtId="0" fontId="0"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0" fillId="0" borderId="12" xfId="0" applyNumberFormat="1" applyFont="1" applyFill="1" applyBorder="1" applyAlignment="1">
      <x:alignment wrapText="1"/>
    </x:xf>
    <x:xf numFmtId="0" fontId="2" fillId="5" borderId="0" xfId="0" applyNumberFormat="1" applyFont="1" applyFill="1" applyBorder="1" applyAlignment="1">
      <x:alignment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top" wrapText="1"/>
    </x:xf>
    <x:xf numFmtId="0" fontId="3" fillId="6"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3" fillId="6"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3" fillId="6"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5" xfId="0" applyNumberFormat="1" applyFont="1" applyFill="1" applyBorder="1" applyAlignment="1">
      <x:alignment horizontal="center" wrapText="1"/>
    </x:xf>
    <x:xf numFmtId="0" fontId="0" fillId="0" borderId="7"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2" fillId="5" borderId="0" xfId="0" applyNumberFormat="1" applyFont="1" applyFill="1" applyBorder="1" applyAlignment="1">
      <x:alignment horizontal="center" vertical="center" wrapText="1"/>
    </x:xf>
    <x:xf numFmtId="0" fontId="2" fillId="5" borderId="4" xfId="0" applyNumberFormat="1" applyFont="1" applyFill="1" applyBorder="1" applyAlignment="1">
      <x:alignment horizontal="center" vertical="center" wrapText="1"/>
    </x:xf>
    <x:xf numFmtId="0" fontId="2" fillId="5" borderId="5" xfId="0" applyNumberFormat="1" applyFont="1" applyFill="1" applyBorder="1" applyAlignment="1">
      <x:alignment horizontal="center" vertical="center" wrapText="1"/>
    </x:xf>
    <x:xf numFmtId="0" fontId="2" fillId="5" borderId="6" xfId="0" applyNumberFormat="1" applyFont="1" applyFill="1" applyBorder="1" applyAlignment="1">
      <x:alignment horizontal="center" vertical="center" wrapText="1"/>
    </x:xf>
    <x:xf numFmtId="0" fontId="3" fillId="6" borderId="0" xfId="0" applyNumberFormat="1" applyFont="1" applyFill="1" applyBorder="1" applyAlignment="1">
      <x:alignment horizontal="center"/>
    </x:xf>
    <x:xf numFmtId="0" fontId="4" fillId="0" borderId="0" xfId="0" applyNumberFormat="1" applyFont="1" applyFill="1" applyBorder="1"/>
    <x:xf numFmtId="0" fontId="3" fillId="6" borderId="13" xfId="0" applyNumberFormat="1" applyFont="1" applyFill="1" applyBorder="1" applyAlignment="1">
      <x:alignment horizontal="center"/>
    </x:xf>
    <x:xf numFmtId="0" fontId="3" fillId="6" borderId="19" xfId="0" applyNumberFormat="1" applyFont="1" applyFill="1" applyBorder="1" applyAlignment="1">
      <x:alignment horizontal="center"/>
    </x:xf>
    <x:xf numFmtId="0" fontId="3" fillId="6" borderId="14" xfId="0" applyNumberFormat="1" applyFont="1" applyFill="1" applyBorder="1" applyAlignment="1">
      <x:alignment horizontal="center"/>
    </x:xf>
    <x:xf numFmtId="0" fontId="4" fillId="0" borderId="15" xfId="0" applyNumberFormat="1" applyFont="1" applyFill="1" applyBorder="1"/>
    <x:xf numFmtId="0" fontId="0" fillId="0" borderId="20" xfId="0" applyNumberFormat="1" applyFont="1" applyFill="1" applyBorder="1"/>
    <x:xf numFmtId="0" fontId="0" fillId="0" borderId="16" xfId="0" applyNumberFormat="1" applyFont="1" applyFill="1" applyBorder="1"/>
    <x:xf numFmtId="0" fontId="4" fillId="0" borderId="17" xfId="0" applyNumberFormat="1" applyFont="1" applyFill="1" applyBorder="1"/>
    <x:xf numFmtId="0" fontId="0" fillId="0" borderId="21" xfId="0" applyNumberFormat="1" applyFont="1" applyFill="1" applyBorder="1"/>
    <x:xf numFmtId="0" fontId="0" fillId="0" borderId="18" xfId="0" applyNumberFormat="1" applyFont="1" applyFill="1" applyBorder="1"/>
    <x:xf numFmtId="0" fontId="3" fillId="6" borderId="13" xfId="0" applyNumberFormat="1" applyFont="1" applyFill="1" applyBorder="1" applyAlignment="1">
      <x:alignment horizontal="center" wrapText="1"/>
    </x:xf>
    <x:xf numFmtId="0" fontId="3" fillId="6" borderId="19" xfId="0" applyNumberFormat="1" applyFont="1" applyFill="1" applyBorder="1" applyAlignment="1">
      <x:alignment horizontal="center" wrapText="1"/>
    </x:xf>
    <x:xf numFmtId="0" fontId="3" fillId="6" borderId="14" xfId="0" applyNumberFormat="1" applyFont="1" applyFill="1" applyBorder="1" applyAlignment="1">
      <x:alignment horizontal="center" wrapText="1"/>
    </x:xf>
    <x:xf numFmtId="0" fontId="4" fillId="0" borderId="15"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16" xfId="0" applyNumberFormat="1" applyFont="1" applyFill="1" applyBorder="1" applyAlignment="1">
      <x:alignment wrapText="1"/>
    </x:xf>
    <x:xf numFmtId="0" fontId="4" fillId="0" borderId="17"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18"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c612c9b8de54963" /><Relationship Type="http://schemas.openxmlformats.org/officeDocument/2006/relationships/theme" Target="/xl/theme/theme1.xml" Id="R2b2f453101694943" /><Relationship Type="http://schemas.openxmlformats.org/officeDocument/2006/relationships/sharedStrings" Target="/xl/sharedStrings.xml" Id="Rd3a53e5fd95d4c0d" /><Relationship Type="http://schemas.openxmlformats.org/officeDocument/2006/relationships/worksheet" Target="/xl/worksheets/sheet1.xml" Id="R2049ba62f23244e4" /><Relationship Type="http://schemas.openxmlformats.org/officeDocument/2006/relationships/worksheet" Target="/xl/worksheets/sheet2.xml" Id="Rc7c31c87cc104b7a" /><Relationship Type="http://schemas.openxmlformats.org/officeDocument/2006/relationships/worksheet" Target="/xl/worksheets/sheet3.xml" Id="Rdeb53d47540a4816" /><Relationship Type="http://schemas.openxmlformats.org/officeDocument/2006/relationships/worksheet" Target="/xl/worksheets/sheet4.xml" Id="R6000a4406a6c4cad" /><Relationship Type="http://schemas.openxmlformats.org/officeDocument/2006/relationships/worksheet" Target="/xl/worksheets/sheet5.xml" Id="R085d3eb2dd094f21" /><Relationship Type="http://schemas.openxmlformats.org/officeDocument/2006/relationships/worksheet" Target="/xl/worksheets/sheet6.xml" Id="R52e7d13266e74de3" /><Relationship Type="http://schemas.openxmlformats.org/officeDocument/2006/relationships/worksheet" Target="/xl/worksheets/sheet7.xml" Id="R9a33f7cd598d43dd" /><Relationship Type="http://schemas.microsoft.com/office/2017/10/relationships/person" Target="/xl/persons/person.xml" Id="Red70c765c9ee49eb" /></Relationships>
</file>

<file path=xl/persons/person.xml><?xml version="1.0" encoding="utf-8"?>
<xltc:personList xmlns:xltc="http://schemas.microsoft.com/office/spreadsheetml/2018/threadedcomments">
  <xltc:person displayName="Claude" id="{D3302DDB-CD9A-0F26-C107-E6A099C24251}"/>
  <xltc:person displayName="Claude" id="{D160C36F-C5FD-632B-0969-4C881E76D930}"/>
</xltc:personList>
</file>

<file path=xl/tables/table1.xml><?xml version="1.0" encoding="utf-8"?>
<x:table xmlns:x="http://schemas.openxmlformats.org/spreadsheetml/2006/main" id="1" name="S10JobsTable" displayName="S10JobsTable" ref="A1:D67" headerRowCount="1" totalsRowCount="0" totalsRowShown="0">
  <x:tableColumns count="4">
    <x:tableColumn id="1" name="stt"/>
    <x:tableColumn id="2" name="id"/>
    <x:tableColumn id="3" name="prompt"/>
    <x:tableColumn id="4" name="reference_images"/>
  </x:tableColumns>
  <x:tableStyleInfo name="TableStyleMedium2" showFirstColumn="0" showLastColumn="0" showRowStripes="1" showColumnStripes="0"/>
</x:table>
</file>

<file path=xl/tables/table2.xml><?xml version="1.0" encoding="utf-8"?>
<x:table xmlns:x="http://schemas.openxmlformats.org/spreadsheetml/2006/main" id="2" name="S10ConfigTable" displayName="S10ConfigTable" ref="A1:B18" headerRowCount="1" totalsRowCount="0" totalsRowShown="0">
  <x:tableColumns count="2">
    <x:tableColumn id="1" name="key"/>
    <x:tableColumn id="2" name="value"/>
  </x:tableColumns>
  <x:tableStyleInfo name="TableStyleMedium2" showFirstColumn="0" showLastColumn="0" showRowStripes="1" showColumnStripes="0"/>
</x:table>
</file>

<file path=xl/tables/table3.xml><?xml version="1.0" encoding="utf-8"?>
<x:table xmlns:x="http://schemas.openxmlformats.org/spreadsheetml/2006/main" id="3" name="S10ManifestTable" displayName="S10ManifestTable" ref="A1:N67" headerRowCount="1" totalsRowCount="0" totalsRowShown="0">
  <x:tableColumns count="14">
    <x:tableColumn id="1" name="sequence"/>
    <x:tableColumn id="2" name="job_id"/>
    <x:tableColumn id="3" name="phase"/>
    <x:tableColumn id="4" name="source_video_id"/>
    <x:tableColumn id="5" name="story_number"/>
    <x:tableColumn id="6" name="part"/>
    <x:tableColumn id="7" name="title"/>
    <x:tableColumn id="8" name="frame"/>
    <x:tableColumn id="9" name="frame_time"/>
    <x:tableColumn id="10" name="timing_schema"/>
    <x:tableColumn id="11" name="purpose"/>
    <x:tableColumn id="12" name="reference_images"/>
    <x:tableColumn id="13" name="expected_output_stem"/>
    <x:tableColumn id="14" name="qc_statu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1046d853385f4f3b" /><Relationship Type="http://schemas.openxmlformats.org/officeDocument/2006/relationships/vmlDrawing" Target="/xl/drawings/vmldrawing.vml" Id="Rbb6bdddc3dad4b9e" /><Relationship Type="http://schemas.openxmlformats.org/officeDocument/2006/relationships/table" Target="/xl/tables/table1.xml" Id="Rf288b34b7ae94444" /></Relationships>
</file>

<file path=xl/worksheets/_rels/sheet2.xml.rels>&#65279;<?xml version="1.0" encoding="utf-8"?><Relationships xmlns="http://schemas.openxmlformats.org/package/2006/relationships"><Relationship Type="http://schemas.openxmlformats.org/officeDocument/2006/relationships/comments" Target="/xl/comments2.xml" Id="R92058f0e105e4e60" /><Relationship Type="http://schemas.openxmlformats.org/officeDocument/2006/relationships/vmlDrawing" Target="/xl/drawings/vmldrawing2.vml" Id="R7026960b904f4ccc" /><Relationship Type="http://schemas.openxmlformats.org/officeDocument/2006/relationships/table" Target="/xl/tables/table2.xml" Id="R2c0a4e97b8c8400c" /></Relationships>
</file>

<file path=xl/worksheets/_rels/sheet4.xml.rels>&#65279;<?xml version="1.0" encoding="utf-8"?><Relationships xmlns="http://schemas.openxmlformats.org/package/2006/relationships"><Relationship Type="http://schemas.openxmlformats.org/officeDocument/2006/relationships/table" Target="/xl/tables/table3.xml" Id="R7e4fcdaea2d2442a"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8" hidden="0" customWidth="1"/>
    <x:col min="2" max="2" width="42" hidden="0" customWidth="1"/>
    <x:col min="3" max="3" width="160" hidden="0" customWidth="1"/>
    <x:col min="4" max="4" width="56" hidden="0" customWidth="1"/>
  </x:cols>
  <x:sheetData>
    <x:row r="1" ht="28" customHeight="1">
      <x:c r="A1" s="12" t="str">
        <x:v>stt</x:v>
      </x:c>
      <x:c r="B1" s="13" t="str">
        <x:v>id</x:v>
      </x:c>
      <x:c r="C1" s="13" t="str">
        <x:v>prompt</x:v>
      </x:c>
      <x:c r="D1" s="14" t="str">
        <x:v>reference_images</x:v>
      </x:c>
    </x:row>
    <x:row r="2" ht="360" customHeight="1">
      <x:c r="A2" s="20" t="n">
        <x:v>1</x:v>
      </x:c>
      <x:c r="B2" s="21" t="str">
        <x:v>P08-S10-C01-MEO-FRONT</x:v>
      </x:c>
      <x:c r="C2" s="21" t="str">
        <x:v>Create a production-ready character concept image for Meo in Pilot 8 S1_10 Moonlight Painter.
Luminous cinematic 3D cartoon moon-painting fantasy with soft indigo nights, silver light strokes, rounded safe studio props, warm expressive identity-faithful faces, and no photorealism.
Complete identity and new wardrobe lock: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Use P08-S10-MEO-PRIMARY.REFERENCE.png as primary face/hair identity and P08-S10-MEO-SECONDARY.REFERENCE.png only as secondary identity confirmation. Ignore every garment, shoe, color and accessory in both references.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Composition: one full-body standing Meo, exact straight-on front view, full feet visible, arms relaxed slightly away from torso, neutral balanced pose, friendly expression, centered with generous white margin.
Pure white seamless studio background, neutral softbox light, one soft ground shadow, no environment and no prop. Make every garment construction and shoe fastening fully readable.
Create exactly one image only: no collage, split screen, multi-panel layout, turnaround sheet, labels, captions, text, logo, watermark, duplicated person, unapproved extra character, or video.</x:v>
      </x:c>
      <x:c r="D2" s="22" t="str">
        <x:v>P08-S10-MEO-PRIMARY.REFERENCE.png|P08-S10-MEO-SECONDARY.REFERENCE.png</x:v>
      </x:c>
    </x:row>
    <x:row r="3" ht="360" customHeight="1">
      <x:c r="A3" s="23" t="n">
        <x:v>2</x:v>
      </x:c>
      <x:c r="B3" s="24" t="str">
        <x:v>P08-S10-C02-MEO-SIDE</x:v>
      </x:c>
      <x:c r="C3" s="24" t="str">
        <x:v>Create a production-ready character concept image for Meo in Pilot 8 S1_10 Moonlight Painter.
Luminous cinematic 3D cartoon moon-painting fantasy with soft indigo nights, silver light strokes, rounded safe studio props, warm expressive identity-faithful faces, and no photorealism.
Complete identity and new wardrobe lock: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Use P08-S10-MEO-PRIMARY.REFERENCE.png as primary identity and P08-S10-MEO-SECONDARY.REFERENCE.png as confirmation only. Ignore all reference clothing.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Composition: one full-body standing Meo in exact 90-degree left-facing side profile, full feet parallel and visible, arms slightly away from torso, neutral pose, centered. Preserve precisely the front concept identity, hairstyle, garment construction, colors and shoes.
Pure white seamless studio background, neutral softbox light, one soft ground shadow, no environment and no prop.
Create exactly one image only: no collage, split screen, multi-panel layout, turnaround sheet, labels, captions, text, logo, watermark, duplicated person, unapproved extra character, or video.</x:v>
      </x:c>
      <x:c r="D3" s="25" t="str">
        <x:v>P08-S10-MEO-PRIMARY.REFERENCE.png|P08-S10-MEO-SECONDARY.REFERENCE.png</x:v>
      </x:c>
    </x:row>
    <x:row r="4" ht="360" customHeight="1">
      <x:c r="A4" s="23" t="n">
        <x:v>3</x:v>
      </x:c>
      <x:c r="B4" s="24" t="str">
        <x:v>P08-S10-C03-BO-FRONT</x:v>
      </x:c>
      <x:c r="C4" s="24" t="str">
        <x:v>Create a production-ready character concept image for Bố in Pilot 8 S1_10 Moonlight Painter.
Luminous cinematic 3D cartoon moon-painting fantasy with soft indigo nights, silver light strokes, rounded safe studio props, warm expressive identity-faithful faces, and no photorealism.
Complete identity and new wardrobe lock: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P08-S10-BO-FRONT.REFERENCE.jpg as primary front-face/glasses identity and P08-S10-BO-SIDE.REFERENCE.jpg for hair, profile and glasses geometry. Ignore every garment and shoe in the photos.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Composition: one full-body standing father, exact straight-on front view, full feet visible, arms relaxed slightly away from torso, natural posture, warm expression, centered with generous white margin.
Pure white seamless studio background, neutral softbox light, one soft ground shadow, no environment and no prop. Make every garment construction and shoe fastening fully readable.
Create exactly one image only: no collage, split screen, multi-panel layout, turnaround sheet, labels, captions, text, logo, watermark, duplicated person, unapproved extra character, or video.</x:v>
      </x:c>
      <x:c r="D4" s="25" t="str">
        <x:v>P08-S10-BO-FRONT.REFERENCE.jpg|P08-S10-BO-SIDE.REFERENCE.jpg</x:v>
      </x:c>
    </x:row>
    <x:row r="5" ht="360" customHeight="1">
      <x:c r="A5" s="23" t="n">
        <x:v>4</x:v>
      </x:c>
      <x:c r="B5" s="24" t="str">
        <x:v>P08-S10-C04-BO-SIDE</x:v>
      </x:c>
      <x:c r="C5" s="24" t="str">
        <x:v>Create a production-ready character concept image for Bố in Pilot 8 S1_10 Moonlight Painter.
Luminous cinematic 3D cartoon moon-painting fantasy with soft indigo nights, silver light strokes, rounded safe studio props, warm expressive identity-faithful faces, and no photorealism.
Complete identity and new wardrobe lock: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P08-S10-BO-FRONT.REFERENCE.jpg as primary identity and P08-S10-BO-SIDE.REFERENCE.jpg for exact profile, hair direction and glasses geometry. Ignore all reference clothing.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Composition: one full-body standing father in exact 90-degree left-facing side profile, full feet parallel and visible, arms slightly away from torso, neutral posture, centered. Preserve precisely the front concept identity, glasses, garment construction, colors and shoes.
Pure white seamless studio background, neutral softbox light, one soft ground shadow, no environment and no prop.
Create exactly one image only: no collage, split screen, multi-panel layout, turnaround sheet, labels, captions, text, logo, watermark, duplicated person, unapproved extra character, or video.</x:v>
      </x:c>
      <x:c r="D5" s="25" t="str">
        <x:v>P08-S10-BO-FRONT.REFERENCE.jpg|P08-S10-BO-SIDE.REFERENCE.jpg</x:v>
      </x:c>
    </x:row>
    <x:row r="6" ht="360" customHeight="1">
      <x:c r="A6" s="23" t="n">
        <x:v>5</x:v>
      </x:c>
      <x:c r="B6" s="24" t="str">
        <x:v>P08-S10-C05-DUO-FRONT</x:v>
      </x:c>
      <x:c r="C6" s="24" t="str">
        <x:v>Create a production-ready two-character scale concept image for Meo and Bố in Pilot 8 S1_10 Moonlight Painter.
Luminous cinematic 3D cartoon moon-painting fantasy with soft indigo nights, silver light strokes, rounded safe studio props, warm expressive identity-faithful faces, and no photorealism.
Meo lock: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lock: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Reference precedence: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Composition: exactly two full-body characters on one ground line, straight-on, Bố left and Meo right, feet fully visible, arms relaxed, warm expressions, believable father-to-five-year-old height relationship, separated readable silhouettes.
Pure white seamless studio background, neutral softbox light, one shared soft ground shadow, no environment and no prop.
Create exactly one image only: no collage, split screen, multi-panel layout, turnaround sheet, labels, captions, text, logo, watermark, duplicated person, unapproved extra character, or video.</x:v>
      </x:c>
      <x:c r="D6" s="25" t="str">
        <x:v>P08-S10-MEO-PRIMARY.REFERENCE.png|P08-S10-MEO-SECONDARY.REFERENCE.png|P08-S10-BO-FRONT.REFERENCE.jpg|P08-S10-BO-SIDE.REFERENCE.jpg</x:v>
      </x:c>
    </x:row>
    <x:row r="7" ht="360" customHeight="1">
      <x:c r="A7" s="23" t="n">
        <x:v>6</x:v>
      </x:c>
      <x:c r="B7" s="24" t="str">
        <x:v>P08-S10-C06-DUO-THREEQ</x:v>
      </x:c>
      <x:c r="C7" s="24" t="str">
        <x:v>Create a production-ready two-character relationship concept image for Meo and Bố in Pilot 8 S1_10 Moonlight Painter.
Luminous cinematic 3D cartoon moon-painting fantasy with soft indigo nights, silver light strokes, rounded safe studio props, warm expressive identity-faithful faces, and no photorealism.
Meo lock: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lock: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Reference precedence: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Composition: exactly two full-body characters in clean three-quarter view, Bố left leaning slightly toward Meo, Meo right looking up, nearest hands gently held in a calm teamwork pose, both faces readable, full feet visible, silhouettes separated, front-lineup scale preserved.
Pure white seamless studio background, neutral softbox light, one shared soft ground shadow, no environment and no prop.
Create exactly one image only: no collage, split screen, multi-panel layout, turnaround sheet, labels, captions, text, logo, watermark, duplicated person, unapproved extra character, or video.</x:v>
      </x:c>
      <x:c r="D7" s="25" t="str">
        <x:v>P08-S10-MEO-PRIMARY.REFERENCE.png|P08-S10-MEO-SECONDARY.REFERENCE.png|P08-S10-BO-FRONT.REFERENCE.jpg|P08-S10-BO-SIDE.REFERENCE.jpg</x:v>
      </x:c>
    </x:row>
    <x:row r="8" ht="430" customHeight="1">
      <x:c r="A8" s="23" t="n">
        <x:v>7</x:v>
      </x:c>
      <x:c r="B8" s="24" t="str">
        <x:v>P08-S10-I010-S1-01A-F01</x:v>
      </x:c>
      <x:c r="C8" s="24" t="str">
        <x:v>Create a storyboard concept still for Pilot 8 source video I010-S1-01A, story 1A, frame F01 of 3, representing 0-2s.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quiet rooftop under a deep blue starry sky. A large canvas sits on a tilting easel beside glowing silver-blue paint. Three tiny friendly star-lights wait above the roofline.
Exact frozen source action: Bố grips both sides of the easel and tilts the canvas slightly upward. Meo lifts a glowing brush and begins one continuous curved stroke from lower left to upper right.
Show the opening physical state and every prop needed for the coming cause-and-effect.
Camera adapted from the approved moving shot into one readable still: one graceful medium-wide side shot on a rooftop painting terrace, with a slow upward tilt keeping Meo, Bố, the canvas and night sky readable together. No cuts.
Visible physics/mechanism: the sky path grows continuously from the brushstroke; its orientation follows canvas tilt; star-lights stay centered on the ribbon and stop at an open gap.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8" s="25" t="str">
        <x:v>P08-S10-MEO-PRIMARY.REFERENCE.png|P08-S10-MEO-SECONDARY.REFERENCE.png|P08-S10-BO-FRONT.REFERENCE.jpg|P08-S10-BO-SIDE.REFERENCE.jpg</x:v>
      </x:c>
    </x:row>
    <x:row r="9" ht="430" customHeight="1">
      <x:c r="A9" s="23" t="n">
        <x:v>8</x:v>
      </x:c>
      <x:c r="B9" s="24" t="str">
        <x:v>P08-S10-I010-S1-01A-F02</x:v>
      </x:c>
      <x:c r="C9" s="24" t="str">
        <x:v>Create a storyboard concept still for Pilot 8 source video I010-S1-01A, story 1A, frame F02 of 3, representing 2-7s.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quiet rooftop under a deep blue starry sky. A large canvas sits on a tilting easel beside glowing silver-blue paint. Three tiny friendly star-lights wait above the roofline.
Exact frozen source action: the luminous stroke grows from the brush tip, lifts away from the canvas and becomes a bright ribbon path in the sky. Two star-lights hop onto it and follow the curve. Bố raises the canvas angle a little more; the floating path tilts with it, sending the curve higher than Meo expected.
Freeze the clearest readable instant of the approved causal mechanism, with Meo's observation and Bố's indispensable physical action visible together.
Camera adapted from the approved moving shot into one readable still: one graceful medium-wide side shot on a rooftop painting terrace, with a slow upward tilt keeping Meo, Bố, the canvas and night sky readable together. No cuts.
Visible physics/mechanism: the sky path grows continuously from the brushstroke; its orientation follows canvas tilt; star-lights stay centered on the ribbon and stop at an open gap.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9" s="25" t="str">
        <x:v>P08-S10-MEO-PRIMARY.REFERENCE.png|P08-S10-MEO-SECONDARY.REFERENCE.png|P08-S10-BO-FRONT.REFERENCE.jpg|P08-S10-BO-SIDE.REFERENCE.jpg</x:v>
      </x:c>
    </x:row>
    <x:row r="10" ht="430" customHeight="1">
      <x:c r="A10" s="23" t="n">
        <x:v>9</x:v>
      </x:c>
      <x:c r="B10" s="24" t="str">
        <x:v>P08-S10-I010-S1-01A-F03</x:v>
      </x:c>
      <x:c r="C10" s="24" t="str">
        <x:v>Create a storyboard concept still for Pilot 8 source video I010-S1-01A, story 1A, frame F03 of 3, representing 7-10s.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quiet rooftop under a deep blue starry sky. A large canvas sits on a tilting easel beside glowing silver-blue paint. Three tiny friendly star-lights wait above the roofline.
Exact frozen source action: Meo stops painting. Bố lowers the easel slightly and holds it steady. The two star-lights reach the ribbon end while the third waits behind them. the glowing path stops just short of a small resting-star cluster, leaving a visible gap. End unresolved.
Keep the approved Part A result visibly unresolved; do not solve it early.
Camera adapted from the approved moving shot into one readable still: one graceful medium-wide side shot on a rooftop painting terrace, with a slow upward tilt keeping Meo, Bố, the canvas and night sky readable together. No cuts.
Visible physics/mechanism: the sky path grows continuously from the brushstroke; its orientation follows canvas tilt; star-lights stay centered on the ribbon and stop at an open gap.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0" s="25" t="str">
        <x:v>P08-S10-MEO-PRIMARY.REFERENCE.png|P08-S10-MEO-SECONDARY.REFERENCE.png|P08-S10-BO-FRONT.REFERENCE.jpg|P08-S10-BO-SIDE.REFERENCE.jpg</x:v>
      </x:c>
    </x:row>
    <x:row r="11" ht="430" customHeight="1">
      <x:c r="A11" s="23" t="n">
        <x:v>10</x:v>
      </x:c>
      <x:c r="B11" s="24" t="str">
        <x:v>P08-S10-I010-S1-01B-F01</x:v>
      </x:c>
      <x:c r="C11" s="24" t="str">
        <x:v>Create a storyboard concept still for Pilot 8 source video I010-S1-01B, story 1B, frame F01 of 3, representing 0-2s.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rooftop terrace. The silver-blue ribbon stops before a resting-star cluster. Two star-lights wait at its edge, a third remains behind them, Bố holds the easel at the corrected lower angle, and Meo keeps the glowing brush raised.
Exact frozen source action: Bố locks the easel hinge with one hand and braces the frame with the other so its angle stays fixed.
Show the opening physical state and every prop needed for the coming cause-and-effect.
Camera adapted from the approved moving shot into one readable still: one medium-wide continuity shot from a consistent side angle at child-eye-level, slowly tilting upward with the painted star path. No cuts.
Visible physics/mechanism: each new section grows continuously from the brush tip and keeps the orientation set by the fixed canvas angle; star-lights move only along connected painted surfaces.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1" s="25" t="str">
        <x:v>P08-S10-MEO-PRIMARY.REFERENCE.png|P08-S10-MEO-SECONDARY.REFERENCE.png|P08-S10-BO-FRONT.REFERENCE.jpg|P08-S10-BO-SIDE.REFERENCE.jpg</x:v>
      </x:c>
    </x:row>
    <x:row r="12" ht="430" customHeight="1">
      <x:c r="A12" s="23" t="n">
        <x:v>11</x:v>
      </x:c>
      <x:c r="B12" s="24" t="str">
        <x:v>P08-S10-I010-S1-01B-F02</x:v>
      </x:c>
      <x:c r="C12" s="24" t="str">
        <x:v>Create a storyboard concept still for Pilot 8 source video I010-S1-01B, story 1B, frame F02 of 3, representing 2-7s.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rooftop terrace. The silver-blue ribbon stops before a resting-star cluster. Two star-lights wait at its edge, a third remains behind them, Bố holds the easel at the corrected lower angle, and Meo keeps the glowing brush raised.
Exact frozen source action: Meo paints a connecting curve from the existing stroke toward the upper canvas corner. The glowing line rises from the brush tip and joins the floating ribbon. Because Bố keeps the canvas steady, the extension grows toward the gap. Two star-lights cross the new section.
Freeze the clearest readable instant of the approved causal mechanism, with Meo's observation and Bố's indispensable physical action visible together.
Camera adapted from the approved moving shot into one readable still: one medium-wide continuity shot from a consistent side angle at child-eye-level, slowly tilting upward with the painted star path. No cuts.
Visible physics/mechanism: each new section grows continuously from the brush tip and keeps the orientation set by the fixed canvas angle; star-lights move only along connected painted surfaces.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2" s="25" t="str">
        <x:v>P08-S10-MEO-PRIMARY.REFERENCE.png|P08-S10-MEO-SECONDARY.REFERENCE.png|P08-S10-BO-FRONT.REFERENCE.jpg|P08-S10-BO-SIDE.REFERENCE.jpg</x:v>
      </x:c>
    </x:row>
    <x:row r="13" ht="430" customHeight="1">
      <x:c r="A13" s="23" t="n">
        <x:v>12</x:v>
      </x:c>
      <x:c r="B13" s="24" t="str">
        <x:v>P08-S10-I010-S1-01B-F03</x:v>
      </x:c>
      <x:c r="C13" s="24" t="str">
        <x:v>Create a storyboard concept still for Pilot 8 source video I010-S1-01B, story 1B, frame F03 of 3, representing 7-10s.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rooftop terrace. The silver-blue ribbon stops before a resting-star cluster. Two star-lights wait at its edge, a third remains behind them, Bố holds the easel at the corrected lower angle, and Meo keeps the glowing brush raised.
Exact frozen source action: Meo adds a tiny brush flick to smooth the join. The third star-light follows, and the ribbon settles into one continuous curve leading into the star cluster. all three star-lights settle and twinkle. Meo says in Vietnamese, with a delighted five-year-old voice: “Bố ơi, con nối tới sao rồi!” Keep the exact wording; do not translate it.
Show the approved Part B resolution and warm father-daughter closure without rendering dialogue as text.
Camera adapted from the approved moving shot into one readable still: one medium-wide continuity shot from a consistent side angle at child-eye-level, slowly tilting upward with the painted star path. No cuts.
Visible physics/mechanism: each new section grows continuously from the brush tip and keeps the orientation set by the fixed canvas angle; star-lights move only along connected painted surfaces.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3" s="25" t="str">
        <x:v>P08-S10-MEO-PRIMARY.REFERENCE.png|P08-S10-MEO-SECONDARY.REFERENCE.png|P08-S10-BO-FRONT.REFERENCE.jpg|P08-S10-BO-SIDE.REFERENCE.jpg</x:v>
      </x:c>
    </x:row>
    <x:row r="14" ht="430" customHeight="1">
      <x:c r="A14" s="23" t="n">
        <x:v>13</x:v>
      </x:c>
      <x:c r="B14" s="24" t="str">
        <x:v>P08-S10-I010-S1-02A-F01</x:v>
      </x:c>
      <x:c r="C14" s="24" t="str">
        <x:v>Create a storyboard concept still for Pilot 8 source video I010-S1-02A, story 2A, frame F01 of 3, representing 0-2s.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moonlit side of the terrace with a fresh dark-blue canvas, glowing pearl paint and several tiny drifting star-sparks. A soft crescent moon is visible beyond the roof.
Exact frozen source action: Bố grips the easel base and rotates the canvas toward the star-sparks. Meo paints a large glowing arc and curves it back toward its starting point.
Show the opening physical state and every prop needed for the coming cause-and-effect.
Camera adapted from the approved moving shot into one readable still: one steady medium-wide three-quarter shot on the rooftop painting terrace, gently tracking around the canvas and sky above it. No cuts.
Visible physics/mechanism: painted lines become luminous sky surfaces; connected paint forms a continuous membrane, while an unpainted opening remains passable; star-sparks slide along painted light but travel through gaps.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4" s="25" t="str">
        <x:v>P08-S10-MEO-PRIMARY.REFERENCE.png|P08-S10-MEO-SECONDARY.REFERENCE.png|P08-S10-BO-FRONT.REFERENCE.jpg|P08-S10-BO-SIDE.REFERENCE.jpg</x:v>
      </x:c>
    </x:row>
    <x:row r="15" ht="430" customHeight="1">
      <x:c r="A15" s="23" t="n">
        <x:v>14</x:v>
      </x:c>
      <x:c r="B15" s="24" t="str">
        <x:v>P08-S10-I010-S1-02A-F02</x:v>
      </x:c>
      <x:c r="C15" s="24" t="str">
        <x:v>Create a storyboard concept still for Pilot 8 source video I010-S1-02A, story 2A, frame F02 of 3, representing 2-7s.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moonlit side of the terrace with a fresh dark-blue canvas, glowing pearl paint and several tiny drifting star-sparks. A soft crescent moon is visible beyond the roof.
Exact frozen source action: the painted arc lifts from the canvas and expands into the sky as a translucent luminous canopy. Because Meo leaves an opening between the ends, the canopy remains an open crescent. Bố turns the easel a few degrees to place it beneath three star-sparks. Two sparks touch the glowing surface and glide along it, but the third passes through the open gap.
Freeze the clearest readable instant of the approved causal mechanism, with Meo's observation and Bố's indispensable physical action visible together.
Camera adapted from the approved moving shot into one readable still: one steady medium-wide three-quarter shot on the rooftop painting terrace, gently tracking around the canvas and sky above it. No cuts.
Visible physics/mechanism: painted lines become luminous sky surfaces; connected paint forms a continuous membrane, while an unpainted opening remains passable; star-sparks slide along painted light but travel through gaps.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5" s="25" t="str">
        <x:v>P08-S10-MEO-PRIMARY.REFERENCE.png|P08-S10-MEO-SECONDARY.REFERENCE.png|P08-S10-BO-FRONT.REFERENCE.jpg|P08-S10-BO-SIDE.REFERENCE.jpg</x:v>
      </x:c>
    </x:row>
    <x:row r="16" ht="430" customHeight="1">
      <x:c r="A16" s="23" t="n">
        <x:v>15</x:v>
      </x:c>
      <x:c r="B16" s="24" t="str">
        <x:v>P08-S10-I010-S1-02A-F03</x:v>
      </x:c>
      <x:c r="C16" s="24" t="str">
        <x:v>Create a storyboard concept still for Pilot 8 source video I010-S1-02A, story 2A, frame F03 of 3, representing 7-10s.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moonlit side of the terrace with a fresh dark-blue canvas, glowing pearl paint and several tiny drifting star-sparks. A soft crescent moon is visible beyond the roof.
Exact frozen source action: Meo raises the brush toward the unfinished ends. Bố stops rotating the easel and braces the base with one foot and both hands. another star-spark drifts toward the same opening while the crescent canopy glows around it. End unresolved.
Keep the approved Part A result visibly unresolved; do not solve it early.
Camera adapted from the approved moving shot into one readable still: one steady medium-wide three-quarter shot on the rooftop painting terrace, gently tracking around the canvas and sky above it. No cuts.
Visible physics/mechanism: painted lines become luminous sky surfaces; connected paint forms a continuous membrane, while an unpainted opening remains passable; star-sparks slide along painted light but travel through gaps.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6" s="25" t="str">
        <x:v>P08-S10-MEO-PRIMARY.REFERENCE.png|P08-S10-MEO-SECONDARY.REFERENCE.png|P08-S10-BO-FRONT.REFERENCE.jpg|P08-S10-BO-SIDE.REFERENCE.jpg</x:v>
      </x:c>
    </x:row>
    <x:row r="17" ht="430" customHeight="1">
      <x:c r="A17" s="23" t="n">
        <x:v>16</x:v>
      </x:c>
      <x:c r="B17" s="24" t="str">
        <x:v>P08-S10-I010-S1-02B-F01</x:v>
      </x:c>
      <x:c r="C17" s="24" t="str">
        <x:v>Create a storyboard concept still for Pilot 8 source video I010-S1-02B, story 2B, frame F01 of 3, representing 0-2s.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moonlit rooftop. The glowing crescent canopy has one open gap. One star-spark approaches the gap, two others slide along the surface, Bố braces the easel, and Meo holds the pearl-painted brush near the unfinished line.
Exact frozen source action: Bố rotates the canvas slightly so the open ends face Meo clearly, then braces the easel firmly and holds the frame steady.
Show the opening physical state and every prop needed for the coming cause-and-effect.
Camera adapted from the approved moving shot into one readable still: one medium-wide continuity shot from a fixed three-quarter side angle at child-eye-level, tracking the crescent canopy and star-sparks. No cuts.
Visible physics/mechanism: a closed painted line creates a continuous luminous membrane; the sealed surface redirects star-sparks along its interior, while canvas tilt changes the membrane orientation.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7" s="25" t="str">
        <x:v>P08-S10-MEO-PRIMARY.REFERENCE.png|P08-S10-MEO-SECONDARY.REFERENCE.png|P08-S10-BO-FRONT.REFERENCE.jpg|P08-S10-BO-SIDE.REFERENCE.jpg</x:v>
      </x:c>
    </x:row>
    <x:row r="18" ht="430" customHeight="1">
      <x:c r="A18" s="23" t="n">
        <x:v>17</x:v>
      </x:c>
      <x:c r="B18" s="24" t="str">
        <x:v>P08-S10-I010-S1-02B-F02</x:v>
      </x:c>
      <x:c r="C18" s="24" t="str">
        <x:v>Create a storyboard concept still for Pilot 8 source video I010-S1-02B, story 2B, frame F02 of 3, representing 2-7s.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moonlit rooftop. The glowing crescent canopy has one open gap. One star-spark approaches the gap, two others slide along the surface, Bố braces the easel, and Meo holds the pearl-painted brush near the unfinished line.
Exact frozen source action: Meo paints a smooth closing stroke between the unfinished ends. The new line rises from the brush and seals the crescent into a glowing oval canopy. The approaching star-spark reaches the former gap, touches the new surface and gently slides around the inside edge instead of passing through.
Freeze the clearest readable instant of the approved causal mechanism, with Meo's observation and Bố's indispensable physical action visible together.
Camera adapted from the approved moving shot into one readable still: one medium-wide continuity shot from a fixed three-quarter side angle at child-eye-level, tracking the crescent canopy and star-sparks. No cuts.
Visible physics/mechanism: a closed painted line creates a continuous luminous membrane; the sealed surface redirects star-sparks along its interior, while canvas tilt changes the membrane orientation.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8" s="25" t="str">
        <x:v>P08-S10-MEO-PRIMARY.REFERENCE.png|P08-S10-MEO-SECONDARY.REFERENCE.png|P08-S10-BO-FRONT.REFERENCE.jpg|P08-S10-BO-SIDE.REFERENCE.jpg</x:v>
      </x:c>
    </x:row>
    <x:row r="19" ht="430" customHeight="1">
      <x:c r="A19" s="23" t="n">
        <x:v>18</x:v>
      </x:c>
      <x:c r="B19" s="24" t="str">
        <x:v>P08-S10-I010-S1-02B-F03</x:v>
      </x:c>
      <x:c r="C19" s="24" t="str">
        <x:v>Create a storyboard concept still for Pilot 8 source video I010-S1-02B, story 2B, frame F03 of 3, representing 7-10s.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moonlit rooftop. The glowing crescent canopy has one open gap. One star-spark approaches the gap, two others slide along the surface, Bố braces the easel, and Meo holds the pearl-painted brush near the unfinished line.
Exact frozen source action: Bố tilts the firmly braced canvas slightly downward while Meo lowers the brush. The canopy follows the tilt and guides all three star-sparks toward its lowest center point. the star-sparks gather into a three-star constellation. Meo says in Vietnamese, with a soft amazed five-year-old voice: “Bố ơi, con khép ánh sáng lại rồi!” Keep the exact wording; do not translate it.
Show the approved Part B resolution and warm father-daughter closure without rendering dialogue as text.
Camera adapted from the approved moving shot into one readable still: one medium-wide continuity shot from a fixed three-quarter side angle at child-eye-level, tracking the crescent canopy and star-sparks. No cuts.
Visible physics/mechanism: a closed painted line creates a continuous luminous membrane; the sealed surface redirects star-sparks along its interior, while canvas tilt changes the membrane orientation.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9" s="25" t="str">
        <x:v>P08-S10-MEO-PRIMARY.REFERENCE.png|P08-S10-MEO-SECONDARY.REFERENCE.png|P08-S10-BO-FRONT.REFERENCE.jpg|P08-S10-BO-SIDE.REFERENCE.jpg</x:v>
      </x:c>
    </x:row>
    <x:row r="20" ht="430" customHeight="1">
      <x:c r="A20" s="23" t="n">
        <x:v>19</x:v>
      </x:c>
      <x:c r="B20" s="24" t="str">
        <x:v>P08-S10-I010-S1-03A-F01</x:v>
      </x:c>
      <x:c r="C20" s="24" t="str">
        <x:v>Create a storyboard concept still for Pilot 8 source video I010-S1-03A, story 3A, frame F01 of 3, representing 0-2s.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deep-indigo night sky. A fresh canvas holds glowing gold paint. Three tiny friendly star-lights hover beside the easel.
Exact frozen source action: Bố grips both sides of the easel and tilts the canvas upward. Meo paints four short horizontal gold strokes, one above another, like ladder rungs.
Show the opening physical state and every prop needed for the coming cause-and-effect.
Camera adapted from the approved moving shot into one readable still: one smooth medium-wide side shot on the moonlit rooftop terrace, gently tracking upward with the canvas and painted structure. No cuts.
Visible physics/mechanism: thicker painted strokes become stiffer luminous structures; thin strokes flex more under a star-light and return gradually when unloaded.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0" s="25" t="str">
        <x:v>P08-S10-MEO-PRIMARY.REFERENCE.png|P08-S10-MEO-SECONDARY.REFERENCE.png|P08-S10-BO-FRONT.REFERENCE.jpg|P08-S10-BO-SIDE.REFERENCE.jpg</x:v>
      </x:c>
    </x:row>
    <x:row r="21" ht="430" customHeight="1">
      <x:c r="A21" s="23" t="n">
        <x:v>20</x:v>
      </x:c>
      <x:c r="B21" s="24" t="str">
        <x:v>P08-S10-I010-S1-03A-F02</x:v>
      </x:c>
      <x:c r="C21" s="24" t="str">
        <x:v>Create a storyboard concept still for Pilot 8 source video I010-S1-03A, story 3A, frame F02 of 3, representing 2-7s.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deep-indigo night sky. A fresh canvas holds glowing gold paint. Three tiny friendly star-lights hover beside the easel.
Exact frozen source action: each stroke lifts from the canvas and becomes a floating luminous rung. Bố raises the easel slightly so the rungs stack into a small stairway. The lowest two strokes are thick and stay firm; the upper two are visibly thinner. One star-light steps onto the first rung, then the second. When it reaches the thin third rung, the painted light bends downward in a soft curve instead of staying level.
Freeze the clearest readable instant of the approved causal mechanism, with Meo's observation and Bố's indispensable physical action visible together.
Camera adapted from the approved moving shot into one readable still: one smooth medium-wide side shot on the moonlit rooftop terrace, gently tracking upward with the canvas and painted structure. No cuts.
Visible physics/mechanism: thicker painted strokes become stiffer luminous structures; thin strokes flex more under a star-light and return gradually when unloaded.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1" s="25" t="str">
        <x:v>P08-S10-MEO-PRIMARY.REFERENCE.png|P08-S10-MEO-SECONDARY.REFERENCE.png|P08-S10-BO-FRONT.REFERENCE.jpg|P08-S10-BO-SIDE.REFERENCE.jpg</x:v>
      </x:c>
    </x:row>
    <x:row r="22" ht="430" customHeight="1">
      <x:c r="A22" s="23" t="n">
        <x:v>21</x:v>
      </x:c>
      <x:c r="B22" s="24" t="str">
        <x:v>P08-S10-I010-S1-03A-F03</x:v>
      </x:c>
      <x:c r="C22" s="24" t="str">
        <x:v>Create a storyboard concept still for Pilot 8 source video I010-S1-03A, story 3A, frame F03 of 3, representing 7-10s.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deep-indigo night sky. A fresh canvas holds glowing gold paint. Three tiny friendly star-lights hover beside the easel.
Exact frozen source action: Bố stops changing the angle and braces the easel hinge. Meo lowers the brush and studies the thick and thin strokes. The star-light waits calmly on the firm second rung. the thin third rung slowly rebounds but still sags below the next step. End unresolved.
Keep the approved Part A result visibly unresolved; do not solve it early.
Camera adapted from the approved moving shot into one readable still: one smooth medium-wide side shot on the moonlit rooftop terrace, gently tracking upward with the canvas and painted structure. No cuts.
Visible physics/mechanism: thicker painted strokes become stiffer luminous structures; thin strokes flex more under a star-light and return gradually when unloaded.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2" s="25" t="str">
        <x:v>P08-S10-MEO-PRIMARY.REFERENCE.png|P08-S10-MEO-SECONDARY.REFERENCE.png|P08-S10-BO-FRONT.REFERENCE.jpg|P08-S10-BO-SIDE.REFERENCE.jpg</x:v>
      </x:c>
    </x:row>
    <x:row r="23" ht="430" customHeight="1">
      <x:c r="A23" s="23" t="n">
        <x:v>22</x:v>
      </x:c>
      <x:c r="B23" s="24" t="str">
        <x:v>P08-S10-I010-S1-03B-F01</x:v>
      </x:c>
      <x:c r="C23" s="24" t="str">
        <x:v>Create a storyboard concept still for Pilot 8 source video I010-S1-03B, story 3B, frame F01 of 3, representing 0-2s.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moonlit rooftop. Four gold painted rungs float above the canvas. The third rung still sags slightly, the fourth is thin, one star-light waits on the firm second rung, two others hover nearby, Bố braces the easel hinge, and Meo holds the glowing brush lowered.
Exact frozen source action: Bố locks the easel at the current angle and grips the frame so the stairway stays fixed.
Show the opening physical state and every prop needed for the coming cause-and-effect.
Camera adapted from the approved moving shot into one readable still: one smooth medium-wide continuity shot, tracking upward with the glowing stairway. No cuts.
Visible physics/mechanism: added paint layers increase stroke thickness and stiffness; reinforced rungs flex less under the same tiny load.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3" s="25" t="str">
        <x:v>P08-S10-MEO-PRIMARY.REFERENCE.png|P08-S10-MEO-SECONDARY.REFERENCE.png|P08-S10-BO-FRONT.REFERENCE.jpg|P08-S10-BO-SIDE.REFERENCE.jpg</x:v>
      </x:c>
    </x:row>
    <x:row r="24" ht="430" customHeight="1">
      <x:c r="A24" s="23" t="n">
        <x:v>23</x:v>
      </x:c>
      <x:c r="B24" s="24" t="str">
        <x:v>P08-S10-I010-S1-03B-F02</x:v>
      </x:c>
      <x:c r="C24" s="24" t="str">
        <x:v>Create a storyboard concept still for Pilot 8 source video I010-S1-03B, story 3B, frame F02 of 3, representing 2-7s.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moonlit rooftop. Four gold painted rungs float above the canvas. The third rung still sags slightly, the fourth is thin, one star-light waits on the firm second rung, two others hover nearby, Bố braces the easel hinge, and Meo holds the glowing brush lowered.
Exact frozen source action: Meo paints one reinforcing pass over the thin third stroke on the canvas, then a second pass over the fourth. Each added layer rises into the sky and merges with its matching rung, making both thicker. The third rung straightens. The waiting star-light steps onto it; the rung bends only slightly and stays aligned.
Freeze the clearest readable instant of the approved causal mechanism, with Meo's observation and Bố's indispensable physical action visible together.
Camera adapted from the approved moving shot into one readable still: one smooth medium-wide continuity shot, tracking upward with the glowing stairway. No cuts.
Visible physics/mechanism: added paint layers increase stroke thickness and stiffness; reinforced rungs flex less under the same tiny load.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4" s="25" t="str">
        <x:v>P08-S10-MEO-PRIMARY.REFERENCE.png|P08-S10-MEO-SECONDARY.REFERENCE.png|P08-S10-BO-FRONT.REFERENCE.jpg|P08-S10-BO-SIDE.REFERENCE.jpg</x:v>
      </x:c>
    </x:row>
    <x:row r="25" ht="430" customHeight="1">
      <x:c r="A25" s="23" t="n">
        <x:v>24</x:v>
      </x:c>
      <x:c r="B25" s="24" t="str">
        <x:v>P08-S10-I010-S1-03B-F03</x:v>
      </x:c>
      <x:c r="C25" s="24" t="str">
        <x:v>Create a storyboard concept still for Pilot 8 source video I010-S1-03B, story 3B, frame F03 of 3, representing 7-10s.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moonlit rooftop. Four gold painted rungs float above the canvas. The third rung still sags slightly, the fourth is thin, one star-light waits on the firm second rung, two others hover nearby, Bố braces the easel hinge, and Meo holds the glowing brush lowered.
Exact frozen source action: Bố keeps the easel locked while Meo lowers the brush. The first star-light climbs onto the reinforced fourth rung; the other two follow. all three star-lights settle on a small glowing platform at the top. Meo says in Vietnamese, with a proud five-year-old voice: “Bố ơi, nét dày chắc hơn rồi!” Keep the wording; do not translate it.
Show the approved Part B resolution and warm father-daughter closure without rendering dialogue as text.
Camera adapted from the approved moving shot into one readable still: one smooth medium-wide continuity shot, tracking upward with the glowing stairway. No cuts.
Visible physics/mechanism: added paint layers increase stroke thickness and stiffness; reinforced rungs flex less under the same tiny load.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5" s="25" t="str">
        <x:v>P08-S10-MEO-PRIMARY.REFERENCE.png|P08-S10-MEO-SECONDARY.REFERENCE.png|P08-S10-BO-FRONT.REFERENCE.jpg|P08-S10-BO-SIDE.REFERENCE.jpg</x:v>
      </x:c>
    </x:row>
    <x:row r="26" ht="430" customHeight="1">
      <x:c r="A26" s="23" t="n">
        <x:v>25</x:v>
      </x:c>
      <x:c r="B26" s="24" t="str">
        <x:v>P08-S10-I010-S1-04A-F01</x:v>
      </x:c>
      <x:c r="C26" s="24" t="str">
        <x:v>Create a storyboard concept still for Pilot 8 source video I010-S1-04A, story 4A, frame F01 of 3, representing 0-2s.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clear midnight rooftop with a large pale moon. A dark canvas sits on a rotating easel beside glowing cyan and violet paint. Three tiny star-buds rest inside a shallow painted bowl of light above the roofline.
Exact frozen source action: Bố grips the easel base and turns the canvas toward the moon. Meo paints three tall rectangular strokes side by side: two thin cyan washes and one thick violet block.
Show the opening physical state and every prop needed for the coming cause-and-effect.
Camera adapted from the approved moving shot into one readable still: one steady medium-wide three-quarter shot on the rooftop terrace, slowly tracking from the canvas toward a soft moonbeam. No cuts.
Visible physics/mechanism: thin painted washes become translucent sky panes that transmit most moonlight; thicker paint becomes more opaque and reduces transmitted light.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6" s="25" t="str">
        <x:v>P08-S10-MEO-PRIMARY.REFERENCE.png|P08-S10-MEO-SECONDARY.REFERENCE.png|P08-S10-BO-FRONT.REFERENCE.jpg|P08-S10-BO-SIDE.REFERENCE.jpg</x:v>
      </x:c>
    </x:row>
    <x:row r="27" ht="430" customHeight="1">
      <x:c r="A27" s="23" t="n">
        <x:v>26</x:v>
      </x:c>
      <x:c r="B27" s="24" t="str">
        <x:v>P08-S10-I010-S1-04A-F02</x:v>
      </x:c>
      <x:c r="C27" s="24" t="str">
        <x:v>Create a storyboard concept still for Pilot 8 source video I010-S1-04A, story 4A, frame F02 of 3, representing 2-7s.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clear midnight rooftop with a large pale moon. A dark canvas sits on a rotating easel beside glowing cyan and violet paint. Three tiny star-buds rest inside a shallow painted bowl of light above the roofline.
Exact frozen source action: the rectangles lift from the canvas and become three floating luminous panes. Bố rotates the easel until the moonbeam crosses them toward the star-buds. Light passes through the first thin cyan pane and remains bright through the second. At the thick violet pane, the beam dims sharply and stops before the star-buds. They remain dark.
Freeze the clearest readable instant of the approved causal mechanism, with Meo's observation and Bố's indispensable physical action visible together.
Camera adapted from the approved moving shot into one readable still: one steady medium-wide three-quarter shot on the rooftop terrace, slowly tracking from the canvas toward a soft moonbeam. No cuts.
Visible physics/mechanism: thin painted washes become translucent sky panes that transmit most moonlight; thicker paint becomes more opaque and reduces transmitted light.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7" s="25" t="str">
        <x:v>P08-S10-MEO-PRIMARY.REFERENCE.png|P08-S10-MEO-SECONDARY.REFERENCE.png|P08-S10-BO-FRONT.REFERENCE.jpg|P08-S10-BO-SIDE.REFERENCE.jpg</x:v>
      </x:c>
    </x:row>
    <x:row r="28" ht="430" customHeight="1">
      <x:c r="A28" s="23" t="n">
        <x:v>27</x:v>
      </x:c>
      <x:c r="B28" s="24" t="str">
        <x:v>P08-S10-I010-S1-04A-F03</x:v>
      </x:c>
      <x:c r="C28" s="24" t="str">
        <x:v>Create a storyboard concept still for Pilot 8 source video I010-S1-04A, story 4A, frame F03 of 3, representing 7-10s.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clear midnight rooftop with a large pale moon. A dark canvas sits on a rotating easel beside glowing cyan and violet paint. Three tiny star-buds rest inside a shallow painted bowl of light above the roofline.
Exact frozen source action: Bố rotates the easel back a few degrees and braces the base. Meo holds her brush beside an empty narrow space next to the thick pane, noticing that thinner painted surfaces transmit more light. the moonbeam brightens through the two cyan panes but still cannot reach the star-buds. End unresolved.
Keep the approved Part A result visibly unresolved; do not solve it early.
Camera adapted from the approved moving shot into one readable still: one steady medium-wide three-quarter shot on the rooftop terrace, slowly tracking from the canvas toward a soft moonbeam. No cuts.
Visible physics/mechanism: thin painted washes become translucent sky panes that transmit most moonlight; thicker paint becomes more opaque and reduces transmitted light.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8" s="25" t="str">
        <x:v>P08-S10-MEO-PRIMARY.REFERENCE.png|P08-S10-MEO-SECONDARY.REFERENCE.png|P08-S10-BO-FRONT.REFERENCE.jpg|P08-S10-BO-SIDE.REFERENCE.jpg</x:v>
      </x:c>
    </x:row>
    <x:row r="29" ht="430" customHeight="1">
      <x:c r="A29" s="23" t="n">
        <x:v>28</x:v>
      </x:c>
      <x:c r="B29" s="24" t="str">
        <x:v>P08-S10-I010-S1-04B-F01</x:v>
      </x:c>
      <x:c r="C29" s="24" t="str">
        <x:v>Create a storyboard concept still for Pilot 8 source video I010-S1-04B, story 4B, frame F01 of 3, representing 0-2s.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midnight rooftop. Two thin cyan sky panes transmit the moonbeam, one thick violet pane blocks it, three star-buds remain dark, Bố braces the rotating easel, and Meo holds the glowing brush beside a narrow empty space next to the violet pane.
Exact frozen source action: Bố turns the easel slightly so the empty space aligns with the moonbeam, then locks the base and steadies the frame.
Show the opening physical state and every prop needed for the coming cause-and-effect.
Camera adapted from the approved moving shot into one readable still: one steady medium-wide continuity shot, tracking the moonbeam toward the star-buds. No cuts.
Visible physics/mechanism: paint opacity follows visible layer thickness; thin washes transmit moonlight, while the thick violet pane remains opaque.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9" s="25" t="str">
        <x:v>P08-S10-MEO-PRIMARY.REFERENCE.png|P08-S10-MEO-SECONDARY.REFERENCE.png|P08-S10-BO-FRONT.REFERENCE.jpg|P08-S10-BO-SIDE.REFERENCE.jpg</x:v>
      </x:c>
    </x:row>
    <x:row r="30" ht="430" customHeight="1">
      <x:c r="A30" s="23" t="n">
        <x:v>29</x:v>
      </x:c>
      <x:c r="B30" s="24" t="str">
        <x:v>P08-S10-I010-S1-04B-F02</x:v>
      </x:c>
      <x:c r="C30" s="24" t="str">
        <x:v>Create a storyboard concept still for Pilot 8 source video I010-S1-04B, story 4B, frame F02 of 3, representing 2-7s.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midnight rooftop. Two thin cyan sky panes transmit the moonbeam, one thick violet pane blocks it, three star-buds remain dark, Bố braces the rotating easel, and Meo holds the glowing brush beside a narrow empty space next to the violet pane.
Exact frozen source action: Meo paints one very thin pale-blue wash across that space. The stroke lifts into a translucent floating pane. The moonbeam passes through the two cyan panes and the new thin pane, bypassing the opaque violet block. The beam stays bright and reaches the painted bowl of light.
Freeze the clearest readable instant of the approved causal mechanism, with Meo's observation and Bố's indispensable physical action visible together.
Camera adapted from the approved moving shot into one readable still: one steady medium-wide continuity shot, tracking the moonbeam toward the star-buds. No cuts.
Visible physics/mechanism: paint opacity follows visible layer thickness; thin washes transmit moonlight, while the thick violet pane remains opaque.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0" s="25" t="str">
        <x:v>P08-S10-MEO-PRIMARY.REFERENCE.png|P08-S10-MEO-SECONDARY.REFERENCE.png|P08-S10-BO-FRONT.REFERENCE.jpg|P08-S10-BO-SIDE.REFERENCE.jpg</x:v>
      </x:c>
    </x:row>
    <x:row r="31" ht="430" customHeight="1">
      <x:c r="A31" s="23" t="n">
        <x:v>30</x:v>
      </x:c>
      <x:c r="B31" s="24" t="str">
        <x:v>P08-S10-I010-S1-04B-F03</x:v>
      </x:c>
      <x:c r="C31" s="24" t="str">
        <x:v>Create a storyboard concept still for Pilot 8 source video I010-S1-04B, story 4B, frame F03 of 3, representing 7-10s.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midnight rooftop. Two thin cyan sky panes transmit the moonbeam, one thick violet pane blocks it, three star-buds remain dark, Bố braces the rotating easel, and Meo holds the glowing brush beside a narrow empty space next to the violet pane.
Exact frozen source action: the three star-buds glow from their centers and open into small five-point star-lights while Bố holds the easel steady. Meo lowers the brush. the three new star-lights twinkle together. Meo says in Vietnamese, with a delighted five-year-old voice: “Bố ơi, nét mỏng cho trăng đi qua!” Keep the wording; do not translate it.
Show the approved Part B resolution and warm father-daughter closure without rendering dialogue as text.
Camera adapted from the approved moving shot into one readable still: one steady medium-wide continuity shot, tracking the moonbeam toward the star-buds. No cuts.
Visible physics/mechanism: paint opacity follows visible layer thickness; thin washes transmit moonlight, while the thick violet pane remains opaque.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1" s="25" t="str">
        <x:v>P08-S10-MEO-PRIMARY.REFERENCE.png|P08-S10-MEO-SECONDARY.REFERENCE.png|P08-S10-BO-FRONT.REFERENCE.jpg|P08-S10-BO-SIDE.REFERENCE.jpg</x:v>
      </x:c>
    </x:row>
    <x:row r="32" ht="430" customHeight="1">
      <x:c r="A32" s="23" t="n">
        <x:v>31</x:v>
      </x:c>
      <x:c r="B32" s="24" t="str">
        <x:v>P08-S10-I010-S1-05A-F01</x:v>
      </x:c>
      <x:c r="C32" s="24" t="str">
        <x:v>Create a storyboard concept still for Pilot 8 source video I010-S1-05A, story 5A, frame F01 of 3, representing 0-2s.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deep-indigo night sky above the rooftop painting terrace. A fresh canvas holds silver-gold paint. Three tiny friendly star-lights hover near the easel.
Exact frozen source action: Bố grips both sides of the easel and tilts the canvas into a shallow downward angle. Meo paints one long curved silver-gold stroke using short dry brush marks, creating a visibly rough texture.
Show the opening physical state and every prop needed for the coming cause-and-effect.
Camera adapted from the approved moving shot into one readable still: one smooth medium-wide side shot on the moonlit rooftop terrace, gently tracking downward with the painted structure. No cuts.
Visible physics/mechanism: rough painted texture creates more sliding resistance; smoother paint creates less resistance on the same slope.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2" s="25" t="str">
        <x:v>P08-S10-MEO-PRIMARY.REFERENCE.png|P08-S10-MEO-SECONDARY.REFERENCE.png|P08-S10-BO-FRONT.REFERENCE.jpg|P08-S10-BO-SIDE.REFERENCE.jpg</x:v>
      </x:c>
    </x:row>
    <x:row r="33" ht="430" customHeight="1">
      <x:c r="A33" s="23" t="n">
        <x:v>32</x:v>
      </x:c>
      <x:c r="B33" s="24" t="str">
        <x:v>P08-S10-I010-S1-05A-F02</x:v>
      </x:c>
      <x:c r="C33" s="24" t="str">
        <x:v>Create a storyboard concept still for Pilot 8 source video I010-S1-05A, story 5A, frame F02 of 3, representing 2-7s.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deep-indigo night sky above the rooftop painting terrace. A fresh canvas holds silver-gold paint. Three tiny friendly star-lights hover near the easel.
Exact frozen source action: the stroke lifts from the canvas and becomes a glowing sky slide. One star-light steps onto the upper end. It glides a short distance, then slows where the painted ridges are roughest. Bố lowers the easel a little more, but the star-light still creeps slowly while a second waits behind. The lower tail, painted with smoother strokes, glows more evenly.
Freeze the clearest readable instant of the approved causal mechanism, with Meo's observation and Bố's indispensable physical action visible together.
Camera adapted from the approved moving shot into one readable still: one smooth medium-wide side shot on the moonlit rooftop terrace, gently tracking downward with the painted structure. No cuts.
Visible physics/mechanism: rough painted texture creates more sliding resistance; smoother paint creates less resistance on the same slope.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3" s="25" t="str">
        <x:v>P08-S10-MEO-PRIMARY.REFERENCE.png|P08-S10-MEO-SECONDARY.REFERENCE.png|P08-S10-BO-FRONT.REFERENCE.jpg|P08-S10-BO-SIDE.REFERENCE.jpg</x:v>
      </x:c>
    </x:row>
    <x:row r="34" ht="430" customHeight="1">
      <x:c r="A34" s="23" t="n">
        <x:v>33</x:v>
      </x:c>
      <x:c r="B34" s="24" t="str">
        <x:v>P08-S10-I010-S1-05A-F03</x:v>
      </x:c>
      <x:c r="C34" s="24" t="str">
        <x:v>Create a storyboard concept still for Pilot 8 source video I010-S1-05A, story 5A, frame F03 of 3, representing 7-10s.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deep-indigo night sky above the rooftop painting terrace. A fresh canvas holds silver-gold paint. Three tiny friendly star-lights hover near the easel.
Exact frozen source action: Bố stops changing the angle and braces the easel hinge. Meo lowers the brush and compares the rough upper section with the smoother tail. the lead star-light remains paused just before the final curve. End unresolved.
Keep the approved Part A result visibly unresolved; do not solve it early.
Camera adapted from the approved moving shot into one readable still: one smooth medium-wide side shot on the moonlit rooftop terrace, gently tracking downward with the painted structure. No cuts.
Visible physics/mechanism: rough painted texture creates more sliding resistance; smoother paint creates less resistance on the same slope.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4" s="25" t="str">
        <x:v>P08-S10-MEO-PRIMARY.REFERENCE.png|P08-S10-MEO-SECONDARY.REFERENCE.png|P08-S10-BO-FRONT.REFERENCE.jpg|P08-S10-BO-SIDE.REFERENCE.jpg</x:v>
      </x:c>
    </x:row>
    <x:row r="35" ht="430" customHeight="1">
      <x:c r="A35" s="23" t="n">
        <x:v>34</x:v>
      </x:c>
      <x:c r="B35" s="24" t="str">
        <x:v>P08-S10-I010-S1-05B-F01</x:v>
      </x:c>
      <x:c r="C35" s="24" t="str">
        <x:v>Create a storyboard concept still for Pilot 8 source video I010-S1-05B, story 5B, frame F01 of 3, representing 0-2s.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moonlit rooftop. The silver-gold sky slide remains rough along its upper section, the lead star-light is paused before the final curve, a second waits behind it, a third hovers nearby, Bố braces the easel hinge, and Meo holds the glowing brush lowered.
Exact frozen source action: Bố locks the easel at the current shallow slope and grips the frame so the slide angle cannot drift.
Show the opening physical state and every prop needed for the coming cause-and-effect.
Camera adapted from the approved moving shot into one readable still: one smooth medium-wide continuity shot from a consistent side angle at child-eye-level, tracking along the glowing slide toward its lower landing crescent. No cuts.
Visible physics/mechanism: smoothing the painted texture lowers sliding resistance while the slope stays unchanged.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5" s="25" t="str">
        <x:v>P08-S10-MEO-PRIMARY.REFERENCE.png|P08-S10-MEO-SECONDARY.REFERENCE.png|P08-S10-BO-FRONT.REFERENCE.jpg|P08-S10-BO-SIDE.REFERENCE.jpg</x:v>
      </x:c>
    </x:row>
    <x:row r="36" ht="430" customHeight="1">
      <x:c r="A36" s="23" t="n">
        <x:v>35</x:v>
      </x:c>
      <x:c r="B36" s="24" t="str">
        <x:v>P08-S10-I010-S1-05B-F02</x:v>
      </x:c>
      <x:c r="C36" s="24" t="str">
        <x:v>Create a storyboard concept still for Pilot 8 source video I010-S1-05B, story 5B, frame F02 of 3, representing 2-7s.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moonlit rooftop. The silver-gold sky slide remains rough along its upper section, the lead star-light is paused before the final curve, a second waits behind it, a third hovers nearby, Bố braces the easel hinge, and Meo holds the glowing brush lowered.
Exact frozen source action: Meo paints one broad smoothing pass over the rough upper stroke, then adds one small glossy finishing stroke near the curve. Each new layer rises from the canvas and merges with the matching sky section, flattening the visible ridges. The lead star-light begins gliding again; the second follows, and the third joins the upper end.
Freeze the clearest readable instant of the approved causal mechanism, with Meo's observation and Bố's indispensable physical action visible together.
Camera adapted from the approved moving shot into one readable still: one smooth medium-wide continuity shot from a consistent side angle at child-eye-level, tracking along the glowing slide toward its lower landing crescent. No cuts.
Visible physics/mechanism: smoothing the painted texture lowers sliding resistance while the slope stays unchanged.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6" s="25" t="str">
        <x:v>P08-S10-MEO-PRIMARY.REFERENCE.png|P08-S10-MEO-SECONDARY.REFERENCE.png|P08-S10-BO-FRONT.REFERENCE.jpg|P08-S10-BO-SIDE.REFERENCE.jpg</x:v>
      </x:c>
    </x:row>
    <x:row r="37" ht="430" customHeight="1">
      <x:c r="A37" s="23" t="n">
        <x:v>36</x:v>
      </x:c>
      <x:c r="B37" s="24" t="str">
        <x:v>P08-S10-I010-S1-05B-F03</x:v>
      </x:c>
      <x:c r="C37" s="24" t="str">
        <x:v>Create a storyboard concept still for Pilot 8 source video I010-S1-05B, story 5B, frame F03 of 3, representing 7-10s.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moonlit rooftop. The silver-gold sky slide remains rough along its upper section, the lead star-light is paused before the final curve, a second waits behind it, a third hovers nearby, Bố braces the easel hinge, and Meo holds the glowing brush lowered.
Exact frozen source action: Bố keeps the easel locked while all three star-lights slide smoothly through the curve and onto the glowing crescent landing. they settle and twinkle together. Meo says in Vietnamese, with a delighted five-year-old voice: “Bố ơi, nét mượt cho sao trượt rồi!” Keep the exact wording; do not translate it.
Show the approved Part B resolution and warm father-daughter closure without rendering dialogue as text.
Camera adapted from the approved moving shot into one readable still: one smooth medium-wide continuity shot from a consistent side angle at child-eye-level, tracking along the glowing slide toward its lower landing crescent. No cuts.
Visible physics/mechanism: smoothing the painted texture lowers sliding resistance while the slope stays unchanged.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7" s="25" t="str">
        <x:v>P08-S10-MEO-PRIMARY.REFERENCE.png|P08-S10-MEO-SECONDARY.REFERENCE.png|P08-S10-BO-FRONT.REFERENCE.jpg|P08-S10-BO-SIDE.REFERENCE.jpg</x:v>
      </x:c>
    </x:row>
    <x:row r="38" ht="430" customHeight="1">
      <x:c r="A38" s="23" t="n">
        <x:v>37</x:v>
      </x:c>
      <x:c r="B38" s="24" t="str">
        <x:v>P08-S10-I010-S1-06A-F01</x:v>
      </x:c>
      <x:c r="C38" s="24" t="str">
        <x:v>Create a storyboard concept still for Pilot 8 source video I010-S1-06A, story 6A, frame F01 of 3, representing 0-2s.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clear midnight sky. A fresh canvas holds metallic silver paint. One closed star-bud rests above the roofline inside a small painted bowl of light.
Exact frozen source action: Bố grips the rotating easel base and turns the canvas toward the moon. Meo paints one tall silver ribbon with a visibly angled upper edge.
Show the opening physical state and every prop needed for the coming cause-and-effect.
Camera adapted from the approved moving shot into one readable still: one steady medium-wide three-quarter shot on the rooftop terrace, gently tracking from the canvas toward a pale moonbeam and one sleepy star-bud. No cuts.
Visible physics/mechanism: the metallic painted surface reflects moonlight; changing the panel angle changes the reflected direction in one clear visible path.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8" s="25" t="str">
        <x:v>P08-S10-MEO-PRIMARY.REFERENCE.png|P08-S10-MEO-SECONDARY.REFERENCE.png|P08-S10-BO-FRONT.REFERENCE.jpg|P08-S10-BO-SIDE.REFERENCE.jpg</x:v>
      </x:c>
    </x:row>
    <x:row r="39" ht="430" customHeight="1">
      <x:c r="A39" s="23" t="n">
        <x:v>38</x:v>
      </x:c>
      <x:c r="B39" s="24" t="str">
        <x:v>P08-S10-I010-S1-06A-F02</x:v>
      </x:c>
      <x:c r="C39" s="24" t="str">
        <x:v>Create a storyboard concept still for Pilot 8 source video I010-S1-06A, story 6A, frame F02 of 3, representing 2-7s.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clear midnight sky. A fresh canvas holds metallic silver paint. One closed star-bud rests above the roofline inside a small painted bowl of light.
Exact frozen source action: the painted ribbon lifts from the canvas and becomes a floating mirror-like sky panel. A soft moonbeam strikes the panel and reflects sideways. Bố rotates the easel a few degrees, changing the panel orientation, but the reflected beam slides just above the sleepy star-bud. He adjusts once more and the beam moves farther past it instead of reaching the center.
Freeze the clearest readable instant of the approved causal mechanism, with Meo's observation and Bố's indispensable physical action visible together.
Camera adapted from the approved moving shot into one readable still: one steady medium-wide three-quarter shot on the rooftop terrace, gently tracking from the canvas toward a pale moonbeam and one sleepy star-bud. No cuts.
Visible physics/mechanism: the metallic painted surface reflects moonlight; changing the panel angle changes the reflected direction in one clear visible path.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9" s="25" t="str">
        <x:v>P08-S10-MEO-PRIMARY.REFERENCE.png|P08-S10-MEO-SECONDARY.REFERENCE.png|P08-S10-BO-FRONT.REFERENCE.jpg|P08-S10-BO-SIDE.REFERENCE.jpg</x:v>
      </x:c>
    </x:row>
    <x:row r="40" ht="430" customHeight="1">
      <x:c r="A40" s="23" t="n">
        <x:v>39</x:v>
      </x:c>
      <x:c r="B40" s="24" t="str">
        <x:v>P08-S10-I010-S1-06A-F03</x:v>
      </x:c>
      <x:c r="C40" s="24" t="str">
        <x:v>Create a storyboard concept still for Pilot 8 source video I010-S1-06A, story 6A, frame F03 of 3, representing 7-10s.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clear midnight sky. A fresh canvas holds metallic silver paint. One closed star-bud rests above the roofline inside a small painted bowl of light.
Exact frozen source action: Bố returns the easel slightly and braces the base. Meo raises the brush beside the angled edge and watches the reflected light path. the star-bud remains closed while the reflected beam glows just above it. End unresolved.
Keep the approved Part A result visibly unresolved; do not solve it early.
Camera adapted from the approved moving shot into one readable still: one steady medium-wide three-quarter shot on the rooftop terrace, gently tracking from the canvas toward a pale moonbeam and one sleepy star-bud. No cuts.
Visible physics/mechanism: the metallic painted surface reflects moonlight; changing the panel angle changes the reflected direction in one clear visible path.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0" s="25" t="str">
        <x:v>P08-S10-MEO-PRIMARY.REFERENCE.png|P08-S10-MEO-SECONDARY.REFERENCE.png|P08-S10-BO-FRONT.REFERENCE.jpg|P08-S10-BO-SIDE.REFERENCE.jpg</x:v>
      </x:c>
    </x:row>
    <x:row r="41" ht="430" customHeight="1">
      <x:c r="A41" s="23" t="n">
        <x:v>40</x:v>
      </x:c>
      <x:c r="B41" s="24" t="str">
        <x:v>P08-S10-I010-S1-06B-F01</x:v>
      </x:c>
      <x:c r="C41" s="24" t="str">
        <x:v>Create a storyboard concept still for Pilot 8 source video I010-S1-06B, story 6B, frame F01 of 3, representing 0-2s.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midnight rooftop. The silver mirror panel floats above the canvas, the reflected moonbeam still passes just above the closed star-bud, Bố braces the easel base, and Meo holds the glowing silver brush near the angled edge.
Exact frozen source action: Bố turns the easel a few degrees downward and locks the base, holding the mirror panel steady.
Show the opening physical state and every prop needed for the coming cause-and-effect.
Camera adapted from the approved moving shot into one readable still: one steady medium-wide continuity shot from a fixed three-quarter side angle at child-eye-level, following the reflected moonbeam toward the star-bud. No cuts.
Visible physics/mechanism: the added painted facet changes the reflection angle and redirects the moonbeam to a new target.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1" s="25" t="str">
        <x:v>P08-S10-MEO-PRIMARY.REFERENCE.png|P08-S10-MEO-SECONDARY.REFERENCE.png|P08-S10-BO-FRONT.REFERENCE.jpg|P08-S10-BO-SIDE.REFERENCE.jpg</x:v>
      </x:c>
    </x:row>
    <x:row r="42" ht="430" customHeight="1">
      <x:c r="A42" s="23" t="n">
        <x:v>41</x:v>
      </x:c>
      <x:c r="B42" s="24" t="str">
        <x:v>P08-S10-I010-S1-06B-F02</x:v>
      </x:c>
      <x:c r="C42" s="24" t="str">
        <x:v>Create a storyboard concept still for Pilot 8 source video I010-S1-06B, story 6B, frame F02 of 3, representing 2-7s.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midnight rooftop. The silver mirror panel floats above the canvas, the reflected moonbeam still passes just above the closed star-bud, Bố braces the easel base, and Meo holds the glowing silver brush near the angled edge.
Exact frozen source action: Meo paints one short triangular silver tab onto the upper edge of the original ribbon. The added stroke rises from the canvas and joins the floating mirror surface at a new angle. The moonbeam strikes the main panel, then redirects from the added tab along a lower path. The reflected light reaches the center of the sleepy star-bud.
Freeze the clearest readable instant of the approved causal mechanism, with Meo's observation and Bố's indispensable physical action visible together.
Camera adapted from the approved moving shot into one readable still: one steady medium-wide continuity shot from a fixed three-quarter side angle at child-eye-level, following the reflected moonbeam toward the star-bud. No cuts.
Visible physics/mechanism: the added painted facet changes the reflection angle and redirects the moonbeam to a new target.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2" s="25" t="str">
        <x:v>P08-S10-MEO-PRIMARY.REFERENCE.png|P08-S10-MEO-SECONDARY.REFERENCE.png|P08-S10-BO-FRONT.REFERENCE.jpg|P08-S10-BO-SIDE.REFERENCE.jpg</x:v>
      </x:c>
    </x:row>
    <x:row r="43" ht="430" customHeight="1">
      <x:c r="A43" s="23" t="n">
        <x:v>42</x:v>
      </x:c>
      <x:c r="B43" s="24" t="str">
        <x:v>P08-S10-I010-S1-06B-F03</x:v>
      </x:c>
      <x:c r="C43" s="24" t="str">
        <x:v>Create a storyboard concept still for Pilot 8 source video I010-S1-06B, story 6B, frame F03 of 3, representing 7-10s.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midnight rooftop. The silver mirror panel floats above the canvas, the reflected moonbeam still passes just above the closed star-bud, Bố braces the easel base, and Meo holds the glowing silver brush near the angled edge.
Exact frozen source action: the star-bud glows from the middle and opens into a warm star-lantern while Meo lowers the brush. Bố maintains the locked angle. the star-lantern twinkles softly. Meo says in Vietnamese, with a soft amazed five-year-old voice: “Bố ơi, trăng bật vào sao rồi!” Keep the exact wording; do not translate it.
Show the approved Part B resolution and warm father-daughter closure without rendering dialogue as text.
Camera adapted from the approved moving shot into one readable still: one steady medium-wide continuity shot from a fixed three-quarter side angle at child-eye-level, following the reflected moonbeam toward the star-bud. No cuts.
Visible physics/mechanism: the added painted facet changes the reflection angle and redirects the moonbeam to a new target.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3" s="25" t="str">
        <x:v>P08-S10-MEO-PRIMARY.REFERENCE.png|P08-S10-MEO-SECONDARY.REFERENCE.png|P08-S10-BO-FRONT.REFERENCE.jpg|P08-S10-BO-SIDE.REFERENCE.jpg</x:v>
      </x:c>
    </x:row>
    <x:row r="44" ht="430" customHeight="1">
      <x:c r="A44" s="23" t="n">
        <x:v>43</x:v>
      </x:c>
      <x:c r="B44" s="24" t="str">
        <x:v>P08-S10-I010-S1-07A-F01</x:v>
      </x:c>
      <x:c r="C44" s="24" t="str">
        <x:v>Create a storyboard concept still for Pilot 8 source video I010-S1-07A, story 7A, frame F01 of 3, representing 0-2s.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clear midnight sky with glowing blue-violet paint, one soft moonbeam, and three closed star-buds resting above the roofline.
Exact frozen source action: Bố grips the easel base and rotates the canvas into the moonbeam. Meo paints one tall glowing triangular facet and a second short angled facet beside it.
Show the opening physical state and every prop needed for the coming cause-and-effect.
Camera adapted from the approved moving shot into one readable still: one steady medium-wide three-quarter shot on the rooftop terrace, gently tracking from the canvas toward a moonbeam and three sleepy star-buds. No cuts.
Visible physics/mechanism: painted prism facets refract and separate the incoming moonbeam; facet angle determines the outgoing ray directions.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4" s="25" t="str">
        <x:v>P08-S10-MEO-PRIMARY.REFERENCE.png|P08-S10-MEO-SECONDARY.REFERENCE.png|P08-S10-BO-FRONT.REFERENCE.jpg|P08-S10-BO-SIDE.REFERENCE.jpg</x:v>
      </x:c>
    </x:row>
    <x:row r="45" ht="430" customHeight="1">
      <x:c r="A45" s="23" t="n">
        <x:v>44</x:v>
      </x:c>
      <x:c r="B45" s="24" t="str">
        <x:v>P08-S10-I010-S1-07A-F02</x:v>
      </x:c>
      <x:c r="C45" s="24" t="str">
        <x:v>Create a storyboard concept still for Pilot 8 source video I010-S1-07A, story 7A, frame F02 of 3, representing 2-7s.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clear midnight sky with glowing blue-violet paint, one soft moonbeam, and three closed star-buds resting above the roofline.
Exact frozen source action: the painted shapes lift from the canvas and become floating prism-like sky panels. The moonbeam passes through them and separates into two narrow colored rays. Bố rotates the easel slightly so the rays move across the sky. One ray reaches the first star-bud and the second ray reaches the next, but the third star-bud remains dark because no ray points toward it.
Freeze the clearest readable instant of the approved causal mechanism, with Meo's observation and Bố's indispensable physical action visible together.
Camera adapted from the approved moving shot into one readable still: one steady medium-wide three-quarter shot on the rooftop terrace, gently tracking from the canvas toward a moonbeam and three sleepy star-buds. No cuts.
Visible physics/mechanism: painted prism facets refract and separate the incoming moonbeam; facet angle determines the outgoing ray directions.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5" s="25" t="str">
        <x:v>P08-S10-MEO-PRIMARY.REFERENCE.png|P08-S10-MEO-SECONDARY.REFERENCE.png|P08-S10-BO-FRONT.REFERENCE.jpg|P08-S10-BO-SIDE.REFERENCE.jpg</x:v>
      </x:c>
    </x:row>
    <x:row r="46" ht="430" customHeight="1">
      <x:c r="A46" s="23" t="n">
        <x:v>45</x:v>
      </x:c>
      <x:c r="B46" s="24" t="str">
        <x:v>P08-S10-I010-S1-07A-F03</x:v>
      </x:c>
      <x:c r="C46" s="24" t="str">
        <x:v>Create a storyboard concept still for Pilot 8 source video I010-S1-07A, story 7A, frame F03 of 3, representing 7-10s.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clear midnight sky with glowing blue-violet paint, one soft moonbeam, and three closed star-buds resting above the roofline.
Exact frozen source action: Bố stops rotating and braces the easel base. Meo raises the brush near an empty edge beside the prism and studies the two visible outgoing paths. the third star-bud stays closed while the two colored rays glow nearby. End unresolved.
Keep the approved Part A result visibly unresolved; do not solve it early.
Camera adapted from the approved moving shot into one readable still: one steady medium-wide three-quarter shot on the rooftop terrace, gently tracking from the canvas toward a moonbeam and three sleepy star-buds. No cuts.
Visible physics/mechanism: painted prism facets refract and separate the incoming moonbeam; facet angle determines the outgoing ray directions.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6" s="25" t="str">
        <x:v>P08-S10-MEO-PRIMARY.REFERENCE.png|P08-S10-MEO-SECONDARY.REFERENCE.png|P08-S10-BO-FRONT.REFERENCE.jpg|P08-S10-BO-SIDE.REFERENCE.jpg</x:v>
      </x:c>
    </x:row>
    <x:row r="47" ht="430" customHeight="1">
      <x:c r="A47" s="23" t="n">
        <x:v>46</x:v>
      </x:c>
      <x:c r="B47" s="24" t="str">
        <x:v>P08-S10-I010-S1-07B-F01</x:v>
      </x:c>
      <x:c r="C47" s="24" t="str">
        <x:v>Create a storyboard concept still for Pilot 8 source video I010-S1-07B, story 7B, frame F01 of 3, representing 0-2s.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midnight rooftop. Two colored rays already leave the floating prism, the first two star-buds glow faintly, the third remains dark, Bố braces the easel, and Meo holds the glowing brush beside an empty prism edge.
Exact frozen source action: Bố adjusts the easel a few degrees and locks the base so the existing two rays stay on their star-buds.
Show the opening physical state and every prop needed for the coming cause-and-effect.
Camera adapted from the approved moving shot into one readable still: one steady medium-wide continuity shot from a consistent side angle at child-eye-level, following the split moonbeams toward the three star-buds. No cuts.
Visible physics/mechanism: the added painted facet creates a third refraction path while the fixed prism orientation preserves the first two.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7" s="25" t="str">
        <x:v>P08-S10-MEO-PRIMARY.REFERENCE.png|P08-S10-MEO-SECONDARY.REFERENCE.png|P08-S10-BO-FRONT.REFERENCE.jpg|P08-S10-BO-SIDE.REFERENCE.jpg</x:v>
      </x:c>
    </x:row>
    <x:row r="48" ht="430" customHeight="1">
      <x:c r="A48" s="23" t="n">
        <x:v>47</x:v>
      </x:c>
      <x:c r="B48" s="24" t="str">
        <x:v>P08-S10-I010-S1-07B-F02</x:v>
      </x:c>
      <x:c r="C48" s="24" t="str">
        <x:v>Create a storyboard concept still for Pilot 8 source video I010-S1-07B, story 7B, frame F02 of 3, representing 2-7s.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midnight rooftop. Two colored rays already leave the floating prism, the first two star-buds glow faintly, the third remains dark, Bố braces the easel, and Meo holds the glowing brush beside an empty prism edge.
Exact frozen source action: Meo paints one small extra blue-violet facet beside the prism edge. The new stroke rises and joins the floating prism structure. The incoming moonbeam now separates into three narrow colored rays. Because Bố holds the orientation fixed, the third ray travels toward the remaining dark star-bud while the first two rays keep their paths.
Freeze the clearest readable instant of the approved causal mechanism, with Meo's observation and Bố's indispensable physical action visible together.
Camera adapted from the approved moving shot into one readable still: one steady medium-wide continuity shot from a consistent side angle at child-eye-level, following the split moonbeams toward the three star-buds. No cuts.
Visible physics/mechanism: the added painted facet creates a third refraction path while the fixed prism orientation preserves the first two.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8" s="25" t="str">
        <x:v>P08-S10-MEO-PRIMARY.REFERENCE.png|P08-S10-MEO-SECONDARY.REFERENCE.png|P08-S10-BO-FRONT.REFERENCE.jpg|P08-S10-BO-SIDE.REFERENCE.jpg</x:v>
      </x:c>
    </x:row>
    <x:row r="49" ht="430" customHeight="1">
      <x:c r="A49" s="23" t="n">
        <x:v>48</x:v>
      </x:c>
      <x:c r="B49" s="24" t="str">
        <x:v>P08-S10-I010-S1-07B-F03</x:v>
      </x:c>
      <x:c r="C49" s="24" t="str">
        <x:v>Create a storyboard concept still for Pilot 8 source video I010-S1-07B, story 7B, frame F03 of 3, representing 7-10s.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midnight rooftop. Two colored rays already leave the floating prism, the first two star-buds glow faintly, the third remains dark, Bố braces the easel, and Meo holds the glowing brush beside an empty prism edge.
Exact frozen source action: all three star-buds open into tiny glowing star-lights as Meo lowers the brush. Bố continues bracing the easel. the three star-lights twinkle in three soft colors. Meo says in Vietnamese, with a delighted five-year-old voice: “Bố ơi, trăng tách thành ba tia rồi!” Keep the exact wording; do not translate it.
Show the approved Part B resolution and warm father-daughter closure without rendering dialogue as text.
Camera adapted from the approved moving shot into one readable still: one steady medium-wide continuity shot from a consistent side angle at child-eye-level, following the split moonbeams toward the three star-buds. No cuts.
Visible physics/mechanism: the added painted facet creates a third refraction path while the fixed prism orientation preserves the first two.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9" s="25" t="str">
        <x:v>P08-S10-MEO-PRIMARY.REFERENCE.png|P08-S10-MEO-SECONDARY.REFERENCE.png|P08-S10-BO-FRONT.REFERENCE.jpg|P08-S10-BO-SIDE.REFERENCE.jpg</x:v>
      </x:c>
    </x:row>
    <x:row r="50" ht="430" customHeight="1">
      <x:c r="A50" s="23" t="n">
        <x:v>49</x:v>
      </x:c>
      <x:c r="B50" s="24" t="str">
        <x:v>P08-S10-I010-S1-08A-F01</x:v>
      </x:c>
      <x:c r="C50" s="24" t="str">
        <x:v>Create a storyboard concept still for Pilot 8 source video I010-S1-08A, story 8A, frame F01 of 3, representing 0-2s.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deep blue night sky with glowing silver paint. A soft ribbon of friendly star-dust drifts horizontally above the roofline.
Exact frozen source action: Bố grips the easel and turns the canvas to face the drifting star-dust stream. Meo paints one large glowing oval with only a few wide cross-lines inside it.
Show the opening physical state and every prop needed for the coming cause-and-effect.
Camera adapted from the approved moving shot into one readable still: one smooth medium-wide side shot on the rooftop terrace, gently tracking the canvas and a drifting stream of tiny star-dust. No cuts.
Visible physics/mechanism: the painted mesh becomes a real sky net; particles smaller than the open spaces pass through, while particles touching the luminous lines are caught.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0" s="25" t="str">
        <x:v>P08-S10-MEO-PRIMARY.REFERENCE.png|P08-S10-MEO-SECONDARY.REFERENCE.png|P08-S10-BO-FRONT.REFERENCE.jpg|P08-S10-BO-SIDE.REFERENCE.jpg</x:v>
      </x:c>
    </x:row>
    <x:row r="51" ht="430" customHeight="1">
      <x:c r="A51" s="23" t="n">
        <x:v>50</x:v>
      </x:c>
      <x:c r="B51" s="24" t="str">
        <x:v>P08-S10-I010-S1-08A-F02</x:v>
      </x:c>
      <x:c r="C51" s="24" t="str">
        <x:v>Create a storyboard concept still for Pilot 8 source video I010-S1-08A, story 8A, frame F02 of 3, representing 2-7s.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deep blue night sky with glowing silver paint. A soft ribbon of friendly star-dust drifts horizontally above the roofline.
Exact frozen source action: the painted oval and cross-lines lift from the canvas and become a floating luminous mesh. Bố raises the easel angle slightly so the mesh sits directly in the dust path. Several bright dust specks touch the painted lines and stay along the edges, but many smaller specks pass through the large center openings. The stream remains gentle and continues forward.
Freeze the clearest readable instant of the approved causal mechanism, with Meo's observation and Bố's indispensable physical action visible together.
Camera adapted from the approved moving shot into one readable still: one smooth medium-wide side shot on the rooftop terrace, gently tracking the canvas and a drifting stream of tiny star-dust. No cuts.
Visible physics/mechanism: the painted mesh becomes a real sky net; particles smaller than the open spaces pass through, while particles touching the luminous lines are caught.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1" s="25" t="str">
        <x:v>P08-S10-MEO-PRIMARY.REFERENCE.png|P08-S10-MEO-SECONDARY.REFERENCE.png|P08-S10-BO-FRONT.REFERENCE.jpg|P08-S10-BO-SIDE.REFERENCE.jpg</x:v>
      </x:c>
    </x:row>
    <x:row r="52" ht="430" customHeight="1">
      <x:c r="A52" s="23" t="n">
        <x:v>51</x:v>
      </x:c>
      <x:c r="B52" s="24" t="str">
        <x:v>P08-S10-I010-S1-08A-F03</x:v>
      </x:c>
      <x:c r="C52" s="24" t="str">
        <x:v>Create a storyboard concept still for Pilot 8 source video I010-S1-08A, story 8A, frame F03 of 3, representing 7-10s.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deep blue night sky with glowing silver paint. A soft ribbon of friendly star-dust drifts horizontally above the roofline.
Exact frozen source action: Bố stops moving the easel and braces the frame. Meo raises the brush near the largest opening and studies how much dust slips through. another small cluster passes through the same center gap. End unresolved.
Keep the approved Part A result visibly unresolved; do not solve it early.
Camera adapted from the approved moving shot into one readable still: one smooth medium-wide side shot on the rooftop terrace, gently tracking the canvas and a drifting stream of tiny star-dust. No cuts.
Visible physics/mechanism: the painted mesh becomes a real sky net; particles smaller than the open spaces pass through, while particles touching the luminous lines are caught.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2" s="25" t="str">
        <x:v>P08-S10-MEO-PRIMARY.REFERENCE.png|P08-S10-MEO-SECONDARY.REFERENCE.png|P08-S10-BO-FRONT.REFERENCE.jpg|P08-S10-BO-SIDE.REFERENCE.jpg</x:v>
      </x:c>
    </x:row>
    <x:row r="53" ht="430" customHeight="1">
      <x:c r="A53" s="23" t="n">
        <x:v>52</x:v>
      </x:c>
      <x:c r="B53" s="24" t="str">
        <x:v>P08-S10-I010-S1-08B-F01</x:v>
      </x:c>
      <x:c r="C53" s="24" t="str">
        <x:v>Create a storyboard concept still for Pilot 8 source video I010-S1-08B, story 8B, frame F01 of 3, representing 0-2s.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rooftop. The glowing oval net remains in the sky with one large center opening, a gentle star-dust stream approaches it, Bố braces the easel, and Meo holds the glowing silver brush near the sparse mesh.
Exact frozen source action: Bố lowers the easel slightly and locks the frame so the net aligns squarely with the incoming dust.
Show the opening physical state and every prop needed for the coming cause-and-effect.
Camera adapted from the approved moving shot into one readable still: one smooth medium-wide continuity shot from a consistent side angle at child-eye-level, following the star-dust stream into the painted mesh. No cuts.
Visible physics/mechanism: adding painted cross-lines reduces aperture size, increasing how much star-dust is captured by the luminous mesh.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3" s="25" t="str">
        <x:v>P08-S10-MEO-PRIMARY.REFERENCE.png|P08-S10-MEO-SECONDARY.REFERENCE.png|P08-S10-BO-FRONT.REFERENCE.jpg|P08-S10-BO-SIDE.REFERENCE.jpg</x:v>
      </x:c>
    </x:row>
    <x:row r="54" ht="430" customHeight="1">
      <x:c r="A54" s="23" t="n">
        <x:v>53</x:v>
      </x:c>
      <x:c r="B54" s="24" t="str">
        <x:v>P08-S10-I010-S1-08B-F02</x:v>
      </x:c>
      <x:c r="C54" s="24" t="str">
        <x:v>Create a storyboard concept still for Pilot 8 source video I010-S1-08B, story 8B, frame F02 of 3, representing 2-7s.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rooftop. The glowing oval net remains in the sky with one large center opening, a gentle star-dust stream approaches it, Bố braces the easel, and Meo holds the glowing silver brush near the sparse mesh.
Exact frozen source action: Meo paints several thin cross-lines through the large center opening. Each new line rises from the canvas and merges into the floating net, visibly reducing the mesh openings. The next wave of star-dust reaches the tighter net. More specks touch the luminous lines and collect inside instead of passing through.
Freeze the clearest readable instant of the approved causal mechanism, with Meo's observation and Bố's indispensable physical action visible together.
Camera adapted from the approved moving shot into one readable still: one smooth medium-wide continuity shot from a consistent side angle at child-eye-level, following the star-dust stream into the painted mesh. No cuts.
Visible physics/mechanism: adding painted cross-lines reduces aperture size, increasing how much star-dust is captured by the luminous mesh.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4" s="25" t="str">
        <x:v>P08-S10-MEO-PRIMARY.REFERENCE.png|P08-S10-MEO-SECONDARY.REFERENCE.png|P08-S10-BO-FRONT.REFERENCE.jpg|P08-S10-BO-SIDE.REFERENCE.jpg</x:v>
      </x:c>
    </x:row>
    <x:row r="55" ht="430" customHeight="1">
      <x:c r="A55" s="23" t="n">
        <x:v>54</x:v>
      </x:c>
      <x:c r="B55" s="24" t="str">
        <x:v>P08-S10-I010-S1-08B-F03</x:v>
      </x:c>
      <x:c r="C55" s="24" t="str">
        <x:v>Create a storyboard concept still for Pilot 8 source video I010-S1-08B, story 8B, frame F03 of 3, representing 7-10s.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rooftop. The glowing oval net remains in the sky with one large center opening, a gentle star-dust stream approaches it, Bố braces the easel, and Meo holds the glowing silver brush near the sparse mesh.
Exact frozen source action: the captured specks gather into three tiny glowing star-lights while Bố keeps the easel fixed. Meo lowers the brush. the three star-lights twinkle inside the mesh, then float gently upward together. Meo says in Vietnamese, with a delighted five-year-old voice: “Bố ơi, lưới dày bắt được sao rồi!” Keep the exact wording; do not translate it.
Show the approved Part B resolution and warm father-daughter closure without rendering dialogue as text.
Camera adapted from the approved moving shot into one readable still: one smooth medium-wide continuity shot from a consistent side angle at child-eye-level, following the star-dust stream into the painted mesh. No cuts.
Visible physics/mechanism: adding painted cross-lines reduces aperture size, increasing how much star-dust is captured by the luminous mesh.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5" s="25" t="str">
        <x:v>P08-S10-MEO-PRIMARY.REFERENCE.png|P08-S10-MEO-SECONDARY.REFERENCE.png|P08-S10-BO-FRONT.REFERENCE.jpg|P08-S10-BO-SIDE.REFERENCE.jpg</x:v>
      </x:c>
    </x:row>
    <x:row r="56" ht="430" customHeight="1">
      <x:c r="A56" s="23" t="n">
        <x:v>55</x:v>
      </x:c>
      <x:c r="B56" s="24" t="str">
        <x:v>P08-S10-I010-S1-09A-F01</x:v>
      </x:c>
      <x:c r="C56" s="24" t="str">
        <x:v>Create a storyboard concept still for Pilot 8 source video I010-S1-09A, story 9A, frame F01 of 3, representing 0-2s.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pre-dawn indigo rooftop with glowing blue and warm-gold paint. One pale star-seed floats above the roofline beside an unlit lavender star-flower.
Exact frozen source action: Bố grips the easel and tilts the canvas toward the floating star-seed. Meo paints one broad blue ribbon and one broad gold ribbon crossing each other.
Show the opening physical state and every prop needed for the coming cause-and-effect.
Camera adapted from the approved moving shot into one readable still: one graceful medium-wide side shot on the rooftop terrace, slowly tracking from the canvas toward two overlapping painted sky ribbons. No cuts.
Visible physics/mechanism: translucent painted colors combine only where their sky surfaces overlap; changing canvas angle moves the overlap zone without changing either ribbon’s shape.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6" s="25" t="str">
        <x:v>P08-S10-MEO-PRIMARY.REFERENCE.png|P08-S10-MEO-SECONDARY.REFERENCE.png|P08-S10-BO-FRONT.REFERENCE.jpg|P08-S10-BO-SIDE.REFERENCE.jpg</x:v>
      </x:c>
    </x:row>
    <x:row r="57" ht="430" customHeight="1">
      <x:c r="A57" s="23" t="n">
        <x:v>56</x:v>
      </x:c>
      <x:c r="B57" s="24" t="str">
        <x:v>P08-S10-I010-S1-09A-F02</x:v>
      </x:c>
      <x:c r="C57" s="24" t="str">
        <x:v>Create a storyboard concept still for Pilot 8 source video I010-S1-09A, story 9A, frame F02 of 3, representing 2-7s.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pre-dawn indigo rooftop with glowing blue and warm-gold paint. One pale star-seed floats above the roofline beside an unlit lavender star-flower.
Exact frozen source action: both strokes lift from the canvas and become translucent luminous sky ribbons. The blue ribbon passes beneath the star-seed and the gold ribbon passes above it. Where the two ribbons overlap, the light becomes a new soft green-gold color, but Bố tilts the easel too far and the overlap zone slides away from the unlit star-flower. The star-seed follows the brighter overlap briefly, then stops before reaching the flower.
Freeze the clearest readable instant of the approved causal mechanism, with Meo's observation and Bố's indispensable physical action visible together.
Camera adapted from the approved moving shot into one readable still: one graceful medium-wide side shot on the rooftop terrace, slowly tracking from the canvas toward two overlapping painted sky ribbons. No cuts.
Visible physics/mechanism: translucent painted colors combine only where their sky surfaces overlap; changing canvas angle moves the overlap zone without changing either ribbon’s shape.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7" s="25" t="str">
        <x:v>P08-S10-MEO-PRIMARY.REFERENCE.png|P08-S10-MEO-SECONDARY.REFERENCE.png|P08-S10-BO-FRONT.REFERENCE.jpg|P08-S10-BO-SIDE.REFERENCE.jpg</x:v>
      </x:c>
    </x:row>
    <x:row r="58" ht="430" customHeight="1">
      <x:c r="A58" s="23" t="n">
        <x:v>57</x:v>
      </x:c>
      <x:c r="B58" s="24" t="str">
        <x:v>P08-S10-I010-S1-09A-F03</x:v>
      </x:c>
      <x:c r="C58" s="24" t="str">
        <x:v>Create a storyboard concept still for Pilot 8 source video I010-S1-09A, story 9A, frame F03 of 3, representing 7-10s.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a pre-dawn indigo rooftop with glowing blue and warm-gold paint. One pale star-seed floats above the roofline beside an unlit lavender star-flower.
Exact frozen source action: Bố lowers the easel and braces the hinge. Meo raises the brush and studies the colored overlap patch. the mixed-color patch glows between the star-seed and the flower but does not touch either one. End unresolved.
Keep the approved Part A result visibly unresolved; do not solve it early.
Camera adapted from the approved moving shot into one readable still: one graceful medium-wide side shot on the rooftop terrace, slowly tracking from the canvas toward two overlapping painted sky ribbons. No cuts.
Visible physics/mechanism: translucent painted colors combine only where their sky surfaces overlap; changing canvas angle moves the overlap zone without changing either ribbon’s shape.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8" s="25" t="str">
        <x:v>P08-S10-MEO-PRIMARY.REFERENCE.png|P08-S10-MEO-SECONDARY.REFERENCE.png|P08-S10-BO-FRONT.REFERENCE.jpg|P08-S10-BO-SIDE.REFERENCE.jpg</x:v>
      </x:c>
    </x:row>
    <x:row r="59" ht="430" customHeight="1">
      <x:c r="A59" s="23" t="n">
        <x:v>58</x:v>
      </x:c>
      <x:c r="B59" s="24" t="str">
        <x:v>P08-S10-I010-S1-09B-F01</x:v>
      </x:c>
      <x:c r="C59" s="24" t="str">
        <x:v>Create a storyboard concept still for Pilot 8 source video I010-S1-09B, story 9B, frame F01 of 3, representing 0-2s.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pre-dawn rooftop. Blue and gold translucent ribbons cross in the sky, their mixed-color overlap sits between the pale star-seed and the unlit lavender star-flower, Bố braces the easel, and Meo holds the glowing brush near the crossing point.
Exact frozen source action: Bố rotates the easel a few degrees and locks the hinge, moving the existing overlap zone closer to the star-flower.
Show the opening physical state and every prop needed for the coming cause-and-effect.
Camera adapted from the approved moving shot into one readable still: one graceful medium-wide continuity shot from a consistent side angle at child-eye-level, tracking the overlapping ribbons toward the star-flower. No cuts.
Visible physics/mechanism: overlapping translucent painted colors combine visually in the shared area; extending one ribbon widens that mixed-color region.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9" s="25" t="str">
        <x:v>P08-S10-MEO-PRIMARY.REFERENCE.png|P08-S10-MEO-SECONDARY.REFERENCE.png|P08-S10-BO-FRONT.REFERENCE.jpg|P08-S10-BO-SIDE.REFERENCE.jpg</x:v>
      </x:c>
    </x:row>
    <x:row r="60" ht="430" customHeight="1">
      <x:c r="A60" s="23" t="n">
        <x:v>59</x:v>
      </x:c>
      <x:c r="B60" s="24" t="str">
        <x:v>P08-S10-I010-S1-09B-F02</x:v>
      </x:c>
      <x:c r="C60" s="24" t="str">
        <x:v>Create a storyboard concept still for Pilot 8 source video I010-S1-09B, story 9B, frame F02 of 3, representing 2-7s.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pre-dawn rooftop. Blue and gold translucent ribbons cross in the sky, their mixed-color overlap sits between the pale star-seed and the unlit lavender star-flower, Bố braces the easel, and Meo holds the glowing brush near the crossing point.
Exact frozen source action: Meo paints one short curved gold extension into the crossing area. The new stroke rises and merges with the gold ribbon, widening the mixed-color patch until it reaches both the star-seed and the flower. The star-seed glides along the shared glowing area and settles at the flower center while Bố holds the orientation steady.
Freeze the clearest readable instant of the approved causal mechanism, with Meo's observation and Bố's indispensable physical action visible together.
Camera adapted from the approved moving shot into one readable still: one graceful medium-wide continuity shot from a consistent side angle at child-eye-level, tracking the overlapping ribbons toward the star-flower. No cuts.
Visible physics/mechanism: overlapping translucent painted colors combine visually in the shared area; extending one ribbon widens that mixed-color region.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0" s="25" t="str">
        <x:v>P08-S10-MEO-PRIMARY.REFERENCE.png|P08-S10-MEO-SECONDARY.REFERENCE.png|P08-S10-BO-FRONT.REFERENCE.jpg|P08-S10-BO-SIDE.REFERENCE.jpg</x:v>
      </x:c>
    </x:row>
    <x:row r="61" ht="430" customHeight="1">
      <x:c r="A61" s="23" t="n">
        <x:v>60</x:v>
      </x:c>
      <x:c r="B61" s="24" t="str">
        <x:v>P08-S10-I010-S1-09B-F03</x:v>
      </x:c>
      <x:c r="C61" s="24" t="str">
        <x:v>Create a storyboard concept still for Pilot 8 source video I010-S1-09B, story 9B, frame F03 of 3, representing 7-10s.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pre-dawn rooftop. Blue and gold translucent ribbons cross in the sky, their mixed-color overlap sits between the pale star-seed and the unlit lavender star-flower, Bố braces the easel, and Meo holds the glowing brush near the crossing point.
Exact frozen source action: the lavender star-flower opens and changes to a warm green-gold glow that matches the overlap color. Meo lowers the brush. the flower twinkles. Meo says in Vietnamese, with a delighted five-year-old voice: “Bố ơi, hai màu gặp nhau rồi!” Keep the exact wording; do not translate it.
Show the approved Part B resolution and warm father-daughter closure without rendering dialogue as text.
Camera adapted from the approved moving shot into one readable still: one graceful medium-wide continuity shot from a consistent side angle at child-eye-level, tracking the overlapping ribbons toward the star-flower. No cuts.
Visible physics/mechanism: overlapping translucent painted colors combine visually in the shared area; extending one ribbon widens that mixed-color region.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1" s="25" t="str">
        <x:v>P08-S10-MEO-PRIMARY.REFERENCE.png|P08-S10-MEO-SECONDARY.REFERENCE.png|P08-S10-BO-FRONT.REFERENCE.jpg|P08-S10-BO-SIDE.REFERENCE.jpg</x:v>
      </x:c>
    </x:row>
    <x:row r="62" ht="430" customHeight="1">
      <x:c r="A62" s="23" t="n">
        <x:v>61</x:v>
      </x:c>
      <x:c r="B62" s="24" t="str">
        <x:v>P08-S10-I010-S1-10A-F01</x:v>
      </x:c>
      <x:c r="C62" s="24" t="str">
        <x:v>Create a storyboard concept still for Pilot 8 source video I010-S1-10A, story 10A, frame F01 of 3, representing 0-2s.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last deep-blue minutes before dawn. The canvas is filled with soft luminous strokes across the mural: curves, panes, ladders and small star shapes. A bright real moon hangs beyond the easel.
Exact frozen source action: Bố grips the easel and tilts the crowded canvas toward the moon. Meo adds one final broad pale-blue stroke across an empty circular area near the mural center.
Show the opening physical state and every prop needed for the coming cause-and-effect.
Camera adapted from the approved moving shot into one readable still: one calm medium-wide side shot on the rooftop terrace, slowly pulling back to include Meo, Bố, the canvas, the moon and a nearly complete painted sky mural. No cuts.
Visible physics/mechanism: painted sky surfaces block direct moonlight when fully covering an area; unpainted negative space allows the real light to pass through.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2" s="25" t="str">
        <x:v>P08-S10-MEO-PRIMARY.REFERENCE.png|P08-S10-MEO-SECONDARY.REFERENCE.png|P08-S10-BO-FRONT.REFERENCE.jpg|P08-S10-BO-SIDE.REFERENCE.jpg</x:v>
      </x:c>
    </x:row>
    <x:row r="63" ht="430" customHeight="1">
      <x:c r="A63" s="23" t="n">
        <x:v>62</x:v>
      </x:c>
      <x:c r="B63" s="24" t="str">
        <x:v>P08-S10-I010-S1-10A-F02</x:v>
      </x:c>
      <x:c r="C63" s="24" t="str">
        <x:v>Create a storyboard concept still for Pilot 8 source video I010-S1-10A, story 10A, frame F02 of 3, representing 2-7s.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last deep-blue minutes before dawn. The canvas is filled with soft luminous strokes across the mural: curves, panes, ladders and small star shapes. A bright real moon hangs beyond the easel.
Exact frozen source action: the new stroke rises and becomes another glowing sky surface, completing the mural visually but blocking the real moonlight that had been shining through that empty circle. The surrounding painted structures remain beautiful, yet their glow becomes flatter without the natural moonbeam. Bố rotates the easel slightly, searching for another opening, but every painted section still covers the moon.
Freeze the clearest readable instant of the approved causal mechanism, with Meo's observation and Bố's indispensable physical action visible together.
Camera adapted from the approved moving shot into one readable still: one calm medium-wide side shot on the rooftop terrace, slowly pulling back to include Meo, Bố, the canvas, the moon and a nearly complete painted sky mural. No cuts.
Visible physics/mechanism: painted sky surfaces block direct moonlight when fully covering an area; unpainted negative space allows the real light to pass through.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3" s="25" t="str">
        <x:v>P08-S10-MEO-PRIMARY.REFERENCE.png|P08-S10-MEO-SECONDARY.REFERENCE.png|P08-S10-BO-FRONT.REFERENCE.jpg|P08-S10-BO-SIDE.REFERENCE.jpg</x:v>
      </x:c>
    </x:row>
    <x:row r="64" ht="430" customHeight="1">
      <x:c r="A64" s="23" t="n">
        <x:v>63</x:v>
      </x:c>
      <x:c r="B64" s="24" t="str">
        <x:v>P08-S10-I010-S1-10A-F03</x:v>
      </x:c>
      <x:c r="C64" s="24" t="str">
        <x:v>Create a storyboard concept still for Pilot 8 source video I010-S1-10A, story 10A, frame F03 of 3, representing 7-10s.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last deep-blue minutes before dawn. The canvas is filled with soft luminous strokes across the mural: curves, panes, ladders and small star shapes. A bright real moon hangs beyond the easel.
Exact frozen source action: Bố stops rotating and braces the frame. Meo lowers the brush and notices that the only missing thing is the real moonlight behind the painted surface. the mural glows softly while the moon remains hidden behind it. End unresolved.
Keep the approved Part A result visibly unresolved; do not solve it early.
Camera adapted from the approved moving shot into one readable still: one calm medium-wide side shot on the rooftop terrace, slowly pulling back to include Meo, Bố, the canvas, the moon and a nearly complete painted sky mural. No cuts.
Visible physics/mechanism: painted sky surfaces block direct moonlight when fully covering an area; unpainted negative space allows the real light to pass through.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4" s="25" t="str">
        <x:v>P08-S10-MEO-PRIMARY.REFERENCE.png|P08-S10-MEO-SECONDARY.REFERENCE.png|P08-S10-BO-FRONT.REFERENCE.jpg|P08-S10-BO-SIDE.REFERENCE.jpg</x:v>
      </x:c>
    </x:row>
    <x:row r="65" ht="430" customHeight="1">
      <x:c r="A65" s="23" t="n">
        <x:v>64</x:v>
      </x:c>
      <x:c r="B65" s="24" t="str">
        <x:v>P08-S10-I010-S1-10B-F01</x:v>
      </x:c>
      <x:c r="C65" s="24" t="str">
        <x:v>Create a storyboard concept still for Pilot 8 source video I010-S1-10B, story 10B, frame F01 of 3, representing 0-2s.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pre-dawn rooftop. The luminous mural covers the real moon, the last pale-blue painted surface fills the circular center, Bố braces the easel, and Meo holds a soft clean sponge beside the canvas while the brush rests lowered.
Exact frozen source action: Bố rotates the easel until the hidden moon sits directly behind the painted center and locks the frame.
Show the opening physical state and every prop needed for the coming cause-and-effect.
Camera adapted from the approved moving shot into one readable still: one calm medium-wide continuity shot from a consistent side angle at child-eye-level, slowly pulling back as moonlight returns through the mural. No cuts.
Visible physics/mechanism: removing fresh paint restores negative space; real moonlight passes only through the unpainted opening and softly backlights the surrounding painted structures.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5" s="25" t="str">
        <x:v>P08-S10-MEO-PRIMARY.REFERENCE.png|P08-S10-MEO-SECONDARY.REFERENCE.png|P08-S10-BO-FRONT.REFERENCE.jpg|P08-S10-BO-SIDE.REFERENCE.jpg</x:v>
      </x:c>
    </x:row>
    <x:row r="66" ht="430" customHeight="1">
      <x:c r="A66" s="23" t="n">
        <x:v>65</x:v>
      </x:c>
      <x:c r="B66" s="24" t="str">
        <x:v>P08-S10-I010-S1-10B-F02</x:v>
      </x:c>
      <x:c r="C66" s="24" t="str">
        <x:v>Create a storyboard concept still for Pilot 8 source video I010-S1-10B, story 10B, frame F02 of 3, representing 2-7s.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pre-dawn rooftop. The luminous mural covers the real moon, the last pale-blue painted surface fills the circular center, Bố braces the easel, and Meo holds a soft clean sponge beside the canvas while the brush rests lowered.
Exact frozen source action: Meo gently lifts the fresh pale-blue paint from one small circular area with the soft sponge instead of adding another stroke. The matching sky surface fades away, leaving an unpainted opening. Real moonlight passes through the circle and illuminates the older painted structures from behind. Bố holds the easel steady while the mural gains depth and sparkle without adding anything.
Freeze the clearest readable instant of the approved causal mechanism, with Meo's observation and Bố's indispensable physical action visible together.
Camera adapted from the approved moving shot into one readable still: one calm medium-wide continuity shot from a consistent side angle at child-eye-level, slowly pulling back as moonlight returns through the mural. No cuts.
Visible physics/mechanism: removing fresh paint restores negative space; real moonlight passes only through the unpainted opening and softly backlights the surrounding painted structures.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6" s="25" t="str">
        <x:v>P08-S10-MEO-PRIMARY.REFERENCE.png|P08-S10-MEO-SECONDARY.REFERENCE.png|P08-S10-BO-FRONT.REFERENCE.jpg|P08-S10-BO-SIDE.REFERENCE.jpg</x:v>
      </x:c>
    </x:row>
    <x:row r="67" ht="430" customHeight="1">
      <x:c r="A67" s="26" t="n">
        <x:v>66</x:v>
      </x:c>
      <x:c r="B67" s="27" t="str">
        <x:v>P08-S10-I010-S1-10B-F03</x:v>
      </x:c>
      <x:c r="C67" s="27" t="str">
        <x:v>Create a storyboard concept still for Pilot 8 source video I010-S1-10B, story 10B, frame F03 of 3, representing 7-10s.
Create exactly one single 16:9 landscape still image, not a video and not a multi-panel storyboard.
Tab visual-style lock: Luminous cinematic 3D cartoon moon-painting fantasy with soft indigo nights, silver light strokes, rounded safe studio props, warm expressive identity-faithful faces, and no photorealism.
Meo identity and completely new tab wardrobe: Five-year-old Vietnamese girl; identity-reference-faithful face; twin low pigtails with matte lavender bands; indigo short-sleeve smock-inspired top with moon-silver piping and closed flat side tabs over lavender fitted mid-thigh shorts; cream ankle socks; silver-and-indigo Velcro sneakers with lavender soles. No copied reference/source clothing, skirt, apron tie, brush loop, bag or dangling tool.
Bố identity and completely new tab wardrobe: Vietnamese father; identity-reference-faithful face; short black side-parted hair and small black-rimmed rectangular glasses; midnight-teal short-sleeve studio overshirt with flat silver edge piping over a warm-ivory crew T-shirt; plum straight trousers with closed flat pockets; cream-and-rust low-top sneakers. No copied reference/source clothing, apron tie, scarf, paint container, bag or dangling tool.
Use P08-S10-MEO-PRIMARY.REFERENCE.png, P08-S10-MEO-SECONDARY.REFERENCE.png, P08-S10-BO-FRONT.REFERENCE.jpg, and P08-S10-BO-SIDE.REFERENCE.jpg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
Scene/opening continuity from the approved source: the same pre-dawn rooftop. The luminous mural covers the real moon, the last pale-blue painted surface fills the circular center, Bố braces the easel, and Meo holds a soft clean sponge beside the canvas while the brush rests lowered.
Exact frozen source action: Meo stops wiping and simply watches. The star-lights from the mural settle around the moonlit opening like a quiet constellation. dawn begins at the horizon. Meo says in Vietnamese, with a calm happy five-year-old voice: “Bố ơi, chỗ trống cũng thành tranh.” Keep the exact wording; do not translate it.
Show the approved Part B resolution and warm father-daughter closure without rendering dialogue as text.
Camera adapted from the approved moving shot into one readable still: one calm medium-wide continuity shot from a consistent side angle at child-eye-level, slowly pulling back as moonlight returns through the mural. No cuts.
Visible physics/mechanism: removing fresh paint restores negative space; real moonlight passes only through the unpainted opening and softly backlights the surrounding painted structures.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7" s="28" t="str">
        <x:v>P08-S10-MEO-PRIMARY.REFERENCE.png|P08-S10-MEO-SECONDARY.REFERENCE.png|P08-S10-BO-FRONT.REFERENCE.jpg|P08-S10-BO-SIDE.REFERENCE.jpg</x:v>
      </x:c>
    </x:row>
  </x:sheetData>
  <x:pageMargins left="0.7" right="0.7" top="0.75" bottom="0.75" header="0.3" footer="0.3"/>
  <x:legacyDrawing xmlns:r="http://schemas.openxmlformats.org/officeDocument/2006/relationships" r:id="Rbb6bdddc3dad4b9e"/>
  <x:tableParts count="1">
    <x:tablePart xmlns:r="http://schemas.openxmlformats.org/officeDocument/2006/relationships" r:id="Rf288b34b7ae94444"/>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40" hidden="0" customWidth="1"/>
    <x:col min="2" max="2" width="76" hidden="0" customWidth="1"/>
  </x:cols>
  <x:sheetData>
    <x:row r="1">
      <x:c r="A1" s="37" t="str">
        <x:v>key</x:v>
      </x:c>
      <x:c r="B1" s="38" t="str">
        <x:v>value</x:v>
      </x:c>
    </x:row>
    <x:row r="2">
      <x:c r="A2" s="39" t="str">
        <x:v>timeout_sec</x:v>
      </x:c>
      <x:c r="B2" s="40" t="str">
        <x:v>900</x:v>
      </x:c>
    </x:row>
    <x:row r="3">
      <x:c r="A3" s="39" t="str">
        <x:v>max_retries</x:v>
      </x:c>
      <x:c r="B3" s="40" t="str">
        <x:v>2</x:v>
      </x:c>
    </x:row>
    <x:row r="4">
      <x:c r="A4" s="39" t="str">
        <x:v>delay_min_sec</x:v>
      </x:c>
      <x:c r="B4" s="40" t="str">
        <x:v>18</x:v>
      </x:c>
    </x:row>
    <x:row r="5">
      <x:c r="A5" s="39" t="str">
        <x:v>delay_max_sec</x:v>
      </x:c>
      <x:c r="B5" s="40" t="str">
        <x:v>32</x:v>
      </x:c>
    </x:row>
    <x:row r="6">
      <x:c r="A6" s="39" t="str">
        <x:v>safety_cooldown_sec</x:v>
      </x:c>
      <x:c r="B6" s="40" t="str">
        <x:v>8-12</x:v>
      </x:c>
    </x:row>
    <x:row r="7">
      <x:c r="A7" s="39" t="str">
        <x:v>max_input_images</x:v>
      </x:c>
      <x:c r="B7" s="40" t="str">
        <x:v>5</x:v>
      </x:c>
    </x:row>
    <x:row r="8">
      <x:c r="A8" s="39" t="str">
        <x:v>continue_on_error</x:v>
      </x:c>
      <x:c r="B8" s="40" t="str">
        <x:v>false</x:v>
      </x:c>
    </x:row>
    <x:row r="9">
      <x:c r="A9" s="39" t="str">
        <x:v>rerun_done</x:v>
      </x:c>
      <x:c r="B9" s="40" t="str">
        <x:v>false</x:v>
      </x:c>
    </x:row>
    <x:row r="10">
      <x:c r="A10" s="39" t="str">
        <x:v>output_destination_mode</x:v>
      </x:c>
      <x:c r="B10" s="40" t="str">
        <x:v>downloads</x:v>
      </x:c>
    </x:row>
    <x:row r="11">
      <x:c r="A11" s="39" t="str">
        <x:v>output_downloads_subfolder</x:v>
      </x:c>
      <x:c r="B11" s="40" t="str">
        <x:v>Duc Auto ChatGPT/Pilot-08/S1-10</x:v>
      </x:c>
    </x:row>
    <x:row r="12">
      <x:c r="A12" s="39" t="str">
        <x:v>image_filename_pattern</x:v>
      </x:c>
      <x:c r="B12" s="40" t="str">
        <x:v>{job_id}</x:v>
      </x:c>
    </x:row>
    <x:row r="13">
      <x:c r="A13" s="39" t="str">
        <x:v>collision_policy</x:v>
      </x:c>
      <x:c r="B13" s="40" t="str">
        <x:v>uniquify</x:v>
      </x:c>
    </x:row>
    <x:row r="14">
      <x:c r="A14" s="39" t="str">
        <x:v>save_images</x:v>
      </x:c>
      <x:c r="B14" s="40" t="str">
        <x:v>true</x:v>
      </x:c>
    </x:row>
    <x:row r="15">
      <x:c r="A15" s="39" t="str">
        <x:v>save_result_xlsx</x:v>
      </x:c>
      <x:c r="B15" s="40" t="str">
        <x:v>true</x:v>
      </x:c>
    </x:row>
    <x:row r="16">
      <x:c r="A16" s="39" t="str">
        <x:v>save_audit_jsonl</x:v>
      </x:c>
      <x:c r="B16" s="40" t="str">
        <x:v>true</x:v>
      </x:c>
    </x:row>
    <x:row r="17">
      <x:c r="A17" s="39" t="str">
        <x:v>result_filename_pattern</x:v>
      </x:c>
      <x:c r="B17" s="40" t="str">
        <x:v>Pilot08-S10.IMAGE-QUEUE__results__v{version}.xlsx</x:v>
      </x:c>
    </x:row>
    <x:row r="18">
      <x:c r="A18" s="41" t="str">
        <x:v>audit_filename</x:v>
      </x:c>
      <x:c r="B18" s="42" t="str">
        <x:v>Pilot08-S10.IMAGE-QUEUE__audit.jsonl</x:v>
      </x:c>
    </x:row>
  </x:sheetData>
  <x:pageMargins left="0.7" right="0.7" top="0.75" bottom="0.75" header="0.3" footer="0.3"/>
  <x:legacyDrawing xmlns:r="http://schemas.openxmlformats.org/officeDocument/2006/relationships" r:id="R7026960b904f4ccc"/>
  <x:tableParts count="1">
    <x:tablePart xmlns:r="http://schemas.openxmlformats.org/officeDocument/2006/relationships" r:id="R2c0a4e97b8c8400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18" hidden="0" customWidth="1"/>
  </x:cols>
  <x:sheetData>
    <x:row r="1" ht="32" customHeight="1">
      <x:c r="A1" s="43" t="str">
        <x:v>Pilot 8 · S1_10 Moonlight Painter · ChatGPT Visual Preproduction Queue</x:v>
      </x:c>
      <x:c r="B1" s="43"/>
    </x:row>
    <x:row r="3" ht="54" customHeight="1">
      <x:c r="A3" s="48" t="str">
        <x:v>Boundary</x:v>
      </x:c>
      <x:c r="B3" s="49" t="str">
        <x:v>PREPARE_INPUT_ONLY — no Extension, ChatGPT generation, Google Flow, or live submission.</x:v>
      </x:c>
    </x:row>
    <x:row r="4" ht="54" customHeight="1">
      <x:c r="A4" s="50" t="str">
        <x:v>Source</x:v>
      </x:c>
      <x:c r="B4" s="51" t="str">
        <x:v>Growing_with_Meo_V2_260817 · S1_10 Moonlight Painter · sheetId 26081730</x:v>
      </x:c>
    </x:row>
    <x:row r="5" ht="54" customHeight="1">
      <x:c r="A5" s="50" t="str">
        <x:v>Source snapshot</x:v>
      </x:c>
      <x:c r="B5" s="51" t="str">
        <x:v>Pilot08-S10.SOURCE.csv · SHA-256 AE8F2EEA50AE3752449B6955D32970F1751696E9B483FE33EC90DE7A588F9F99</x:v>
      </x:c>
    </x:row>
    <x:row r="6" ht="54" customHeight="1">
      <x:c r="A6" s="50" t="str">
        <x:v>Queue</x:v>
      </x:c>
      <x:c r="B6" s="51" t="str">
        <x:v>66 jobs = 6 concepts + 60 storyboard stills.</x:v>
      </x:c>
    </x:row>
    <x:row r="7" ht="54" customHeight="1">
      <x:c r="A7" s="50" t="str">
        <x:v>Timing schemas</x:v>
      </x:c>
      <x:c r="B7" s="51" t="str">
        <x:v>{"STANDARD_0-2_2-7_7-9_9-10":20}</x:v>
      </x:c>
    </x:row>
    <x:row r="8" ht="54" customHeight="1">
      <x:c r="A8" s="50" t="str">
        <x:v>Load 1</x:v>
      </x:c>
      <x:c r="B8" s="51" t="str">
        <x:v>Select this XLSX in Duc Auto ChatGPT.</x:v>
      </x:c>
    </x:row>
    <x:row r="9" ht="54" customHeight="1">
      <x:c r="A9" s="50" t="str">
        <x:v>Load 2</x:v>
      </x:c>
      <x:c r="B9" s="51" t="str">
        <x:v>Select the four exact files in references/.</x:v>
      </x:c>
    </x:row>
    <x:row r="10" ht="54" customHeight="1">
      <x:c r="A10" s="50" t="str">
        <x:v>Load 3</x:v>
      </x:c>
      <x:c r="B10" s="51" t="str">
        <x:v>Run Check Plan only; confirm 66 jobs, 4 references and output Duc Auto ChatGPT/Pilot-08/S1-10.</x:v>
      </x:c>
    </x:row>
    <x:row r="11" ht="54" customHeight="1">
      <x:c r="A11" s="50" t="str">
        <x:v>Load 4</x:v>
      </x:c>
      <x:c r="B11" s="51" t="str">
        <x:v>Review the completely new tab wardrobe, then wait for owner acceptance before any run.</x:v>
      </x:c>
    </x:row>
    <x:row r="12" ht="94" customHeight="1">
      <x:c r="A12" s="50" t="str">
        <x:v>Reference precedence</x:v>
      </x:c>
      <x:c r="B12" s="51" t="str">
        <x:v>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x:v>
      </x:c>
    </x:row>
    <x:row r="13" ht="94" customHeight="1">
      <x:c r="A13" s="50" t="str">
        <x:v>New wardrobe</x:v>
      </x:c>
      <x:c r="B13" s="51" t="str">
        <x:v>Owner instruction applied: redesign clothing completely from scratch to fit this series; keep the approved new outfit unchanged across all 66 prompts. Moonlight Painter studio explorers: secure smock-inspired layers with flat side tabs and luminous piping for paint-and-light mechanisms; no loose apron ties, brush loops, scarf, bag, wet paint container or dangling tools. Meo indigo, moon-silver, lavender and cream; Bố midnight teal, warm ivory, silver, plum and rust.</x:v>
      </x:c>
    </x:row>
    <x:row r="14" ht="94" customHeight="1">
      <x:c r="A14" s="50" t="str">
        <x:v>Supporting characters</x:v>
      </x:c>
      <x:c r="B14" s="51" t="str">
        <x:v>Preserve only named supporting characters explicitly authorized by the exact source video prompt, repeat their full source description in affected storyboard prompts, and prohibit unapproved extra characters. Lead character concepts remain the six Meo/Bố jobs.</x:v>
      </x:c>
    </x:row>
    <x:row r="15" ht="54" customHeight="1">
      <x:c r="A15" s="50" t="str">
        <x:v>Safety stop</x:v>
      </x:c>
      <x:c r="B15" s="51" t="str">
        <x:v>Stop for CAPTCHA/security warning, unresolved reference, ambiguous submission state, or persistence failure.</x:v>
      </x:c>
    </x:row>
    <x:row r="16" ht="54" customHeight="1">
      <x:c r="A16" s="50" t="str">
        <x:v>Naming</x:v>
      </x:c>
      <x:c r="B16" s="51" t="str">
        <x:v>Output stem equals job ID; runner owns result/status columns.</x:v>
      </x:c>
    </x:row>
    <x:row r="17" ht="54" customHeight="1">
      <x:c r="A17" s="52" t="str">
        <x:v>Status</x:v>
      </x:c>
      <x:c r="B17" s="53" t="str">
        <x:v>READY_FOR_OWNER_REVIEW — live submissions 0.</x:v>
      </x:c>
    </x:row>
  </x:sheetData>
  <x:mergeCells>
    <x:mergeCell ref="A1:B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42" hidden="0" customWidth="1"/>
    <x:col min="3" max="3" width="22" hidden="0" customWidth="1"/>
    <x:col min="4" max="4" width="24" hidden="0" customWidth="1"/>
    <x:col min="5" max="5" width="12" hidden="0" customWidth="1"/>
    <x:col min="6" max="6" width="8" hidden="0" customWidth="1"/>
    <x:col min="7" max="7" width="34" hidden="0" customWidth="1"/>
    <x:col min="8" max="8" width="20" hidden="0" customWidth="1"/>
    <x:col min="9" max="9" width="14" hidden="0" customWidth="1"/>
    <x:col min="10" max="10" width="34" hidden="0" customWidth="1"/>
    <x:col min="11" max="11" width="28" hidden="0" customWidth="1"/>
    <x:col min="12" max="12" width="72" hidden="0" customWidth="1"/>
    <x:col min="13" max="13" width="42" hidden="0" customWidth="1"/>
    <x:col min="14" max="14" width="12" hidden="0" customWidth="1"/>
  </x:cols>
  <x:sheetData>
    <x:row r="1">
      <x:c r="A1" s="37" t="str">
        <x:v>sequence</x:v>
      </x:c>
      <x:c r="B1" s="56" t="str">
        <x:v>job_id</x:v>
      </x:c>
      <x:c r="C1" s="56" t="str">
        <x:v>phase</x:v>
      </x:c>
      <x:c r="D1" s="56" t="str">
        <x:v>source_video_id</x:v>
      </x:c>
      <x:c r="E1" s="56" t="str">
        <x:v>story_number</x:v>
      </x:c>
      <x:c r="F1" s="56" t="str">
        <x:v>part</x:v>
      </x:c>
      <x:c r="G1" s="56" t="str">
        <x:v>title</x:v>
      </x:c>
      <x:c r="H1" s="56" t="str">
        <x:v>frame</x:v>
      </x:c>
      <x:c r="I1" s="56" t="str">
        <x:v>frame_time</x:v>
      </x:c>
      <x:c r="J1" s="56" t="str">
        <x:v>timing_schema</x:v>
      </x:c>
      <x:c r="K1" s="56" t="str">
        <x:v>purpose</x:v>
      </x:c>
      <x:c r="L1" s="56" t="str">
        <x:v>reference_images</x:v>
      </x:c>
      <x:c r="M1" s="56" t="str">
        <x:v>expected_output_stem</x:v>
      </x:c>
      <x:c r="N1" s="38" t="str">
        <x:v>qc_status</x:v>
      </x:c>
    </x:row>
    <x:row r="2" ht="78" customHeight="1">
      <x:c r="A2" s="57" t="n">
        <x:v>1</x:v>
      </x:c>
      <x:c r="B2" s="24" t="str">
        <x:v>P08-S10-C01-MEO-FRONT</x:v>
      </x:c>
      <x:c r="C2" s="24" t="str">
        <x:v>CHARACTER_CONCEPT</x:v>
      </x:c>
      <x:c r="D2" s="24" t="str">
        <x:v>CHARACTER_LOCK</x:v>
      </x:c>
      <x:c r="E2" s="24" t="str"/>
      <x:c r="F2" s="24" t="str"/>
      <x:c r="G2" s="24" t="str">
        <x:v>Meo</x:v>
      </x:c>
      <x:c r="H2" s="24" t="str">
        <x:v>FRONT</x:v>
      </x:c>
      <x:c r="I2" s="24" t="str">
        <x:v>N/A</x:v>
      </x:c>
      <x:c r="J2" s="24" t="str">
        <x:v>N/A</x:v>
      </x:c>
      <x:c r="K2" s="24" t="str">
        <x:v>Independent full-body front definition</x:v>
      </x:c>
      <x:c r="L2" s="24" t="str">
        <x:v>P08-S10-MEO-PRIMARY.REFERENCE.png|P08-S10-MEO-SECONDARY.REFERENCE.png</x:v>
      </x:c>
      <x:c r="M2" s="24" t="str">
        <x:v>P08-S10-C01-MEO-FRONT</x:v>
      </x:c>
      <x:c r="N2" s="25" t="str">
        <x:v>PASS</x:v>
      </x:c>
    </x:row>
    <x:row r="3" ht="78" customHeight="1">
      <x:c r="A3" s="57" t="n">
        <x:v>2</x:v>
      </x:c>
      <x:c r="B3" s="24" t="str">
        <x:v>P08-S10-C02-MEO-SIDE</x:v>
      </x:c>
      <x:c r="C3" s="24" t="str">
        <x:v>CHARACTER_CONCEPT</x:v>
      </x:c>
      <x:c r="D3" s="24" t="str">
        <x:v>CHARACTER_LOCK</x:v>
      </x:c>
      <x:c r="E3" s="24" t="str"/>
      <x:c r="F3" s="24" t="str"/>
      <x:c r="G3" s="24" t="str">
        <x:v>Meo</x:v>
      </x:c>
      <x:c r="H3" s="24" t="str">
        <x:v>SIDE</x:v>
      </x:c>
      <x:c r="I3" s="24" t="str">
        <x:v>N/A</x:v>
      </x:c>
      <x:c r="J3" s="24" t="str">
        <x:v>N/A</x:v>
      </x:c>
      <x:c r="K3" s="24" t="str">
        <x:v>Independent full-body side definition</x:v>
      </x:c>
      <x:c r="L3" s="24" t="str">
        <x:v>P08-S10-MEO-PRIMARY.REFERENCE.png|P08-S10-MEO-SECONDARY.REFERENCE.png</x:v>
      </x:c>
      <x:c r="M3" s="24" t="str">
        <x:v>P08-S10-C02-MEO-SIDE</x:v>
      </x:c>
      <x:c r="N3" s="25" t="str">
        <x:v>PASS</x:v>
      </x:c>
    </x:row>
    <x:row r="4" ht="78" customHeight="1">
      <x:c r="A4" s="57" t="n">
        <x:v>3</x:v>
      </x:c>
      <x:c r="B4" s="24" t="str">
        <x:v>P08-S10-C03-BO-FRONT</x:v>
      </x:c>
      <x:c r="C4" s="24" t="str">
        <x:v>CHARACTER_CONCEPT</x:v>
      </x:c>
      <x:c r="D4" s="24" t="str">
        <x:v>CHARACTER_LOCK</x:v>
      </x:c>
      <x:c r="E4" s="24" t="str"/>
      <x:c r="F4" s="24" t="str"/>
      <x:c r="G4" s="24" t="str">
        <x:v>Bố</x:v>
      </x:c>
      <x:c r="H4" s="24" t="str">
        <x:v>FRONT</x:v>
      </x:c>
      <x:c r="I4" s="24" t="str">
        <x:v>N/A</x:v>
      </x:c>
      <x:c r="J4" s="24" t="str">
        <x:v>N/A</x:v>
      </x:c>
      <x:c r="K4" s="24" t="str">
        <x:v>Independent full-body front definition</x:v>
      </x:c>
      <x:c r="L4" s="24" t="str">
        <x:v>P08-S10-BO-FRONT.REFERENCE.jpg|P08-S10-BO-SIDE.REFERENCE.jpg</x:v>
      </x:c>
      <x:c r="M4" s="24" t="str">
        <x:v>P08-S10-C03-BO-FRONT</x:v>
      </x:c>
      <x:c r="N4" s="25" t="str">
        <x:v>PASS</x:v>
      </x:c>
    </x:row>
    <x:row r="5" ht="78" customHeight="1">
      <x:c r="A5" s="57" t="n">
        <x:v>4</x:v>
      </x:c>
      <x:c r="B5" s="24" t="str">
        <x:v>P08-S10-C04-BO-SIDE</x:v>
      </x:c>
      <x:c r="C5" s="24" t="str">
        <x:v>CHARACTER_CONCEPT</x:v>
      </x:c>
      <x:c r="D5" s="24" t="str">
        <x:v>CHARACTER_LOCK</x:v>
      </x:c>
      <x:c r="E5" s="24" t="str"/>
      <x:c r="F5" s="24" t="str"/>
      <x:c r="G5" s="24" t="str">
        <x:v>Bố</x:v>
      </x:c>
      <x:c r="H5" s="24" t="str">
        <x:v>SIDE</x:v>
      </x:c>
      <x:c r="I5" s="24" t="str">
        <x:v>N/A</x:v>
      </x:c>
      <x:c r="J5" s="24" t="str">
        <x:v>N/A</x:v>
      </x:c>
      <x:c r="K5" s="24" t="str">
        <x:v>Independent full-body side definition</x:v>
      </x:c>
      <x:c r="L5" s="24" t="str">
        <x:v>P08-S10-BO-FRONT.REFERENCE.jpg|P08-S10-BO-SIDE.REFERENCE.jpg</x:v>
      </x:c>
      <x:c r="M5" s="24" t="str">
        <x:v>P08-S10-C04-BO-SIDE</x:v>
      </x:c>
      <x:c r="N5" s="25" t="str">
        <x:v>PASS</x:v>
      </x:c>
    </x:row>
    <x:row r="6" ht="78" customHeight="1">
      <x:c r="A6" s="57" t="n">
        <x:v>5</x:v>
      </x:c>
      <x:c r="B6" s="24" t="str">
        <x:v>P08-S10-C05-DUO-FRONT</x:v>
      </x:c>
      <x:c r="C6" s="24" t="str">
        <x:v>CHARACTER_CONCEPT</x:v>
      </x:c>
      <x:c r="D6" s="24" t="str">
        <x:v>CHARACTER_LOCK</x:v>
      </x:c>
      <x:c r="E6" s="24" t="str"/>
      <x:c r="F6" s="24" t="str"/>
      <x:c r="G6" s="24" t="str">
        <x:v>Meo + Bố</x:v>
      </x:c>
      <x:c r="H6" s="24" t="str">
        <x:v>DUO_FRONT</x:v>
      </x:c>
      <x:c r="I6" s="24" t="str">
        <x:v>N/A</x:v>
      </x:c>
      <x:c r="J6" s="24" t="str">
        <x:v>N/A</x:v>
      </x:c>
      <x:c r="K6" s="24" t="str">
        <x:v>Shared front scale and relationship definition</x:v>
      </x:c>
      <x:c r="L6" s="24" t="str">
        <x:v>P08-S10-MEO-PRIMARY.REFERENCE.png|P08-S10-MEO-SECONDARY.REFERENCE.png|P08-S10-BO-FRONT.REFERENCE.jpg|P08-S10-BO-SIDE.REFERENCE.jpg</x:v>
      </x:c>
      <x:c r="M6" s="24" t="str">
        <x:v>P08-S10-C05-DUO-FRONT</x:v>
      </x:c>
      <x:c r="N6" s="25" t="str">
        <x:v>PASS</x:v>
      </x:c>
    </x:row>
    <x:row r="7" ht="78" customHeight="1">
      <x:c r="A7" s="57" t="n">
        <x:v>6</x:v>
      </x:c>
      <x:c r="B7" s="24" t="str">
        <x:v>P08-S10-C06-DUO-THREEQ</x:v>
      </x:c>
      <x:c r="C7" s="24" t="str">
        <x:v>CHARACTER_CONCEPT</x:v>
      </x:c>
      <x:c r="D7" s="24" t="str">
        <x:v>CHARACTER_LOCK</x:v>
      </x:c>
      <x:c r="E7" s="24" t="str"/>
      <x:c r="F7" s="24" t="str"/>
      <x:c r="G7" s="24" t="str">
        <x:v>Meo + Bố</x:v>
      </x:c>
      <x:c r="H7" s="24" t="str">
        <x:v>DUO_THREE_QUARTER</x:v>
      </x:c>
      <x:c r="I7" s="24" t="str">
        <x:v>N/A</x:v>
      </x:c>
      <x:c r="J7" s="24" t="str">
        <x:v>N/A</x:v>
      </x:c>
      <x:c r="K7" s="24" t="str">
        <x:v>Shared three-quarter teamwork definition</x:v>
      </x:c>
      <x:c r="L7" s="24" t="str">
        <x:v>P08-S10-MEO-PRIMARY.REFERENCE.png|P08-S10-MEO-SECONDARY.REFERENCE.png|P08-S10-BO-FRONT.REFERENCE.jpg|P08-S10-BO-SIDE.REFERENCE.jpg</x:v>
      </x:c>
      <x:c r="M7" s="24" t="str">
        <x:v>P08-S10-C06-DUO-THREEQ</x:v>
      </x:c>
      <x:c r="N7" s="25" t="str">
        <x:v>PASS</x:v>
      </x:c>
    </x:row>
    <x:row r="8" ht="78" customHeight="1">
      <x:c r="A8" s="57" t="n">
        <x:v>7</x:v>
      </x:c>
      <x:c r="B8" s="24" t="str">
        <x:v>P08-S10-I010-S1-01A-F01</x:v>
      </x:c>
      <x:c r="C8" s="24" t="str">
        <x:v>STORYBOARD</x:v>
      </x:c>
      <x:c r="D8" s="24" t="str">
        <x:v>I010-S1-01A</x:v>
      </x:c>
      <x:c r="E8" s="24" t="str">
        <x:v>1</x:v>
      </x:c>
      <x:c r="F8" s="24" t="str">
        <x:v>A</x:v>
      </x:c>
      <x:c r="G8" s="24" t="str">
        <x:v>Con đường sao đầu tiên</x:v>
      </x:c>
      <x:c r="H8" s="24" t="str">
        <x:v>F01</x:v>
      </x:c>
      <x:c r="I8" s="24" t="str">
        <x:v>0-2s</x:v>
      </x:c>
      <x:c r="J8" s="24" t="str">
        <x:v>STANDARD_0-2_2-7_7-9_9-10</x:v>
      </x:c>
      <x:c r="K8" s="24" t="str">
        <x:v>OPENING</x:v>
      </x:c>
      <x:c r="L8" s="24" t="str">
        <x:v>P08-S10-MEO-PRIMARY.REFERENCE.png|P08-S10-MEO-SECONDARY.REFERENCE.png|P08-S10-BO-FRONT.REFERENCE.jpg|P08-S10-BO-SIDE.REFERENCE.jpg</x:v>
      </x:c>
      <x:c r="M8" s="24" t="str">
        <x:v>P08-S10-I010-S1-01A-F01</x:v>
      </x:c>
      <x:c r="N8" s="25" t="str">
        <x:v>PASS</x:v>
      </x:c>
    </x:row>
    <x:row r="9" ht="78" customHeight="1">
      <x:c r="A9" s="57" t="n">
        <x:v>8</x:v>
      </x:c>
      <x:c r="B9" s="24" t="str">
        <x:v>P08-S10-I010-S1-01A-F02</x:v>
      </x:c>
      <x:c r="C9" s="24" t="str">
        <x:v>STORYBOARD</x:v>
      </x:c>
      <x:c r="D9" s="24" t="str">
        <x:v>I010-S1-01A</x:v>
      </x:c>
      <x:c r="E9" s="24" t="str">
        <x:v>1</x:v>
      </x:c>
      <x:c r="F9" s="24" t="str">
        <x:v>A</x:v>
      </x:c>
      <x:c r="G9" s="24" t="str">
        <x:v>Con đường sao đầu tiên</x:v>
      </x:c>
      <x:c r="H9" s="24" t="str">
        <x:v>F02</x:v>
      </x:c>
      <x:c r="I9" s="24" t="str">
        <x:v>2-7s</x:v>
      </x:c>
      <x:c r="J9" s="24" t="str">
        <x:v>STANDARD_0-2_2-7_7-9_9-10</x:v>
      </x:c>
      <x:c r="K9" s="24" t="str">
        <x:v>CAUSAL_ACTION</x:v>
      </x:c>
      <x:c r="L9" s="24" t="str">
        <x:v>P08-S10-MEO-PRIMARY.REFERENCE.png|P08-S10-MEO-SECONDARY.REFERENCE.png|P08-S10-BO-FRONT.REFERENCE.jpg|P08-S10-BO-SIDE.REFERENCE.jpg</x:v>
      </x:c>
      <x:c r="M9" s="24" t="str">
        <x:v>P08-S10-I010-S1-01A-F02</x:v>
      </x:c>
      <x:c r="N9" s="25" t="str">
        <x:v>PASS</x:v>
      </x:c>
    </x:row>
    <x:row r="10" ht="78" customHeight="1">
      <x:c r="A10" s="57" t="n">
        <x:v>9</x:v>
      </x:c>
      <x:c r="B10" s="24" t="str">
        <x:v>P08-S10-I010-S1-01A-F03</x:v>
      </x:c>
      <x:c r="C10" s="24" t="str">
        <x:v>STORYBOARD</x:v>
      </x:c>
      <x:c r="D10" s="24" t="str">
        <x:v>I010-S1-01A</x:v>
      </x:c>
      <x:c r="E10" s="24" t="str">
        <x:v>1</x:v>
      </x:c>
      <x:c r="F10" s="24" t="str">
        <x:v>A</x:v>
      </x:c>
      <x:c r="G10" s="24" t="str">
        <x:v>Con đường sao đầu tiên</x:v>
      </x:c>
      <x:c r="H10" s="24" t="str">
        <x:v>F03</x:v>
      </x:c>
      <x:c r="I10" s="24" t="str">
        <x:v>7-10s</x:v>
      </x:c>
      <x:c r="J10" s="24" t="str">
        <x:v>STANDARD_0-2_2-7_7-9_9-10</x:v>
      </x:c>
      <x:c r="K10" s="24" t="str">
        <x:v>CLOSING_STATE</x:v>
      </x:c>
      <x:c r="L10" s="24" t="str">
        <x:v>P08-S10-MEO-PRIMARY.REFERENCE.png|P08-S10-MEO-SECONDARY.REFERENCE.png|P08-S10-BO-FRONT.REFERENCE.jpg|P08-S10-BO-SIDE.REFERENCE.jpg</x:v>
      </x:c>
      <x:c r="M10" s="24" t="str">
        <x:v>P08-S10-I010-S1-01A-F03</x:v>
      </x:c>
      <x:c r="N10" s="25" t="str">
        <x:v>PASS</x:v>
      </x:c>
    </x:row>
    <x:row r="11" ht="78" customHeight="1">
      <x:c r="A11" s="57" t="n">
        <x:v>10</x:v>
      </x:c>
      <x:c r="B11" s="24" t="str">
        <x:v>P08-S10-I010-S1-01B-F01</x:v>
      </x:c>
      <x:c r="C11" s="24" t="str">
        <x:v>STORYBOARD</x:v>
      </x:c>
      <x:c r="D11" s="24" t="str">
        <x:v>I010-S1-01B</x:v>
      </x:c>
      <x:c r="E11" s="24" t="str">
        <x:v>1</x:v>
      </x:c>
      <x:c r="F11" s="24" t="str">
        <x:v>B</x:v>
      </x:c>
      <x:c r="G11" s="24" t="str">
        <x:v>Con đường sao đầu tiên</x:v>
      </x:c>
      <x:c r="H11" s="24" t="str">
        <x:v>F01</x:v>
      </x:c>
      <x:c r="I11" s="24" t="str">
        <x:v>0-2s</x:v>
      </x:c>
      <x:c r="J11" s="24" t="str">
        <x:v>STANDARD_0-2_2-7_7-9_9-10</x:v>
      </x:c>
      <x:c r="K11" s="24" t="str">
        <x:v>OPENING</x:v>
      </x:c>
      <x:c r="L11" s="24" t="str">
        <x:v>P08-S10-MEO-PRIMARY.REFERENCE.png|P08-S10-MEO-SECONDARY.REFERENCE.png|P08-S10-BO-FRONT.REFERENCE.jpg|P08-S10-BO-SIDE.REFERENCE.jpg</x:v>
      </x:c>
      <x:c r="M11" s="24" t="str">
        <x:v>P08-S10-I010-S1-01B-F01</x:v>
      </x:c>
      <x:c r="N11" s="25" t="str">
        <x:v>PASS</x:v>
      </x:c>
    </x:row>
    <x:row r="12" ht="78" customHeight="1">
      <x:c r="A12" s="57" t="n">
        <x:v>11</x:v>
      </x:c>
      <x:c r="B12" s="24" t="str">
        <x:v>P08-S10-I010-S1-01B-F02</x:v>
      </x:c>
      <x:c r="C12" s="24" t="str">
        <x:v>STORYBOARD</x:v>
      </x:c>
      <x:c r="D12" s="24" t="str">
        <x:v>I010-S1-01B</x:v>
      </x:c>
      <x:c r="E12" s="24" t="str">
        <x:v>1</x:v>
      </x:c>
      <x:c r="F12" s="24" t="str">
        <x:v>B</x:v>
      </x:c>
      <x:c r="G12" s="24" t="str">
        <x:v>Con đường sao đầu tiên</x:v>
      </x:c>
      <x:c r="H12" s="24" t="str">
        <x:v>F02</x:v>
      </x:c>
      <x:c r="I12" s="24" t="str">
        <x:v>2-7s</x:v>
      </x:c>
      <x:c r="J12" s="24" t="str">
        <x:v>STANDARD_0-2_2-7_7-9_9-10</x:v>
      </x:c>
      <x:c r="K12" s="24" t="str">
        <x:v>CAUSAL_ACTION</x:v>
      </x:c>
      <x:c r="L12" s="24" t="str">
        <x:v>P08-S10-MEO-PRIMARY.REFERENCE.png|P08-S10-MEO-SECONDARY.REFERENCE.png|P08-S10-BO-FRONT.REFERENCE.jpg|P08-S10-BO-SIDE.REFERENCE.jpg</x:v>
      </x:c>
      <x:c r="M12" s="24" t="str">
        <x:v>P08-S10-I010-S1-01B-F02</x:v>
      </x:c>
      <x:c r="N12" s="25" t="str">
        <x:v>PASS</x:v>
      </x:c>
    </x:row>
    <x:row r="13" ht="78" customHeight="1">
      <x:c r="A13" s="57" t="n">
        <x:v>12</x:v>
      </x:c>
      <x:c r="B13" s="24" t="str">
        <x:v>P08-S10-I010-S1-01B-F03</x:v>
      </x:c>
      <x:c r="C13" s="24" t="str">
        <x:v>STORYBOARD</x:v>
      </x:c>
      <x:c r="D13" s="24" t="str">
        <x:v>I010-S1-01B</x:v>
      </x:c>
      <x:c r="E13" s="24" t="str">
        <x:v>1</x:v>
      </x:c>
      <x:c r="F13" s="24" t="str">
        <x:v>B</x:v>
      </x:c>
      <x:c r="G13" s="24" t="str">
        <x:v>Con đường sao đầu tiên</x:v>
      </x:c>
      <x:c r="H13" s="24" t="str">
        <x:v>F03</x:v>
      </x:c>
      <x:c r="I13" s="24" t="str">
        <x:v>7-10s</x:v>
      </x:c>
      <x:c r="J13" s="24" t="str">
        <x:v>STANDARD_0-2_2-7_7-9_9-10</x:v>
      </x:c>
      <x:c r="K13" s="24" t="str">
        <x:v>CLOSING_STATE</x:v>
      </x:c>
      <x:c r="L13" s="24" t="str">
        <x:v>P08-S10-MEO-PRIMARY.REFERENCE.png|P08-S10-MEO-SECONDARY.REFERENCE.png|P08-S10-BO-FRONT.REFERENCE.jpg|P08-S10-BO-SIDE.REFERENCE.jpg</x:v>
      </x:c>
      <x:c r="M13" s="24" t="str">
        <x:v>P08-S10-I010-S1-01B-F03</x:v>
      </x:c>
      <x:c r="N13" s="25" t="str">
        <x:v>PASS</x:v>
      </x:c>
    </x:row>
    <x:row r="14" ht="78" customHeight="1">
      <x:c r="A14" s="57" t="n">
        <x:v>13</x:v>
      </x:c>
      <x:c r="B14" s="24" t="str">
        <x:v>P08-S10-I010-S1-02A-F01</x:v>
      </x:c>
      <x:c r="C14" s="24" t="str">
        <x:v>STORYBOARD</x:v>
      </x:c>
      <x:c r="D14" s="24" t="str">
        <x:v>I010-S1-02A</x:v>
      </x:c>
      <x:c r="E14" s="24" t="str">
        <x:v>2</x:v>
      </x:c>
      <x:c r="F14" s="24" t="str">
        <x:v>A</x:v>
      </x:c>
      <x:c r="G14" s="24" t="str">
        <x:v>Mái trăng còn hở</x:v>
      </x:c>
      <x:c r="H14" s="24" t="str">
        <x:v>F01</x:v>
      </x:c>
      <x:c r="I14" s="24" t="str">
        <x:v>0-2s</x:v>
      </x:c>
      <x:c r="J14" s="24" t="str">
        <x:v>STANDARD_0-2_2-7_7-9_9-10</x:v>
      </x:c>
      <x:c r="K14" s="24" t="str">
        <x:v>OPENING</x:v>
      </x:c>
      <x:c r="L14" s="24" t="str">
        <x:v>P08-S10-MEO-PRIMARY.REFERENCE.png|P08-S10-MEO-SECONDARY.REFERENCE.png|P08-S10-BO-FRONT.REFERENCE.jpg|P08-S10-BO-SIDE.REFERENCE.jpg</x:v>
      </x:c>
      <x:c r="M14" s="24" t="str">
        <x:v>P08-S10-I010-S1-02A-F01</x:v>
      </x:c>
      <x:c r="N14" s="25" t="str">
        <x:v>PASS</x:v>
      </x:c>
    </x:row>
    <x:row r="15" ht="78" customHeight="1">
      <x:c r="A15" s="57" t="n">
        <x:v>14</x:v>
      </x:c>
      <x:c r="B15" s="24" t="str">
        <x:v>P08-S10-I010-S1-02A-F02</x:v>
      </x:c>
      <x:c r="C15" s="24" t="str">
        <x:v>STORYBOARD</x:v>
      </x:c>
      <x:c r="D15" s="24" t="str">
        <x:v>I010-S1-02A</x:v>
      </x:c>
      <x:c r="E15" s="24" t="str">
        <x:v>2</x:v>
      </x:c>
      <x:c r="F15" s="24" t="str">
        <x:v>A</x:v>
      </x:c>
      <x:c r="G15" s="24" t="str">
        <x:v>Mái trăng còn hở</x:v>
      </x:c>
      <x:c r="H15" s="24" t="str">
        <x:v>F02</x:v>
      </x:c>
      <x:c r="I15" s="24" t="str">
        <x:v>2-7s</x:v>
      </x:c>
      <x:c r="J15" s="24" t="str">
        <x:v>STANDARD_0-2_2-7_7-9_9-10</x:v>
      </x:c>
      <x:c r="K15" s="24" t="str">
        <x:v>CAUSAL_ACTION</x:v>
      </x:c>
      <x:c r="L15" s="24" t="str">
        <x:v>P08-S10-MEO-PRIMARY.REFERENCE.png|P08-S10-MEO-SECONDARY.REFERENCE.png|P08-S10-BO-FRONT.REFERENCE.jpg|P08-S10-BO-SIDE.REFERENCE.jpg</x:v>
      </x:c>
      <x:c r="M15" s="24" t="str">
        <x:v>P08-S10-I010-S1-02A-F02</x:v>
      </x:c>
      <x:c r="N15" s="25" t="str">
        <x:v>PASS</x:v>
      </x:c>
    </x:row>
    <x:row r="16" ht="78" customHeight="1">
      <x:c r="A16" s="57" t="n">
        <x:v>15</x:v>
      </x:c>
      <x:c r="B16" s="24" t="str">
        <x:v>P08-S10-I010-S1-02A-F03</x:v>
      </x:c>
      <x:c r="C16" s="24" t="str">
        <x:v>STORYBOARD</x:v>
      </x:c>
      <x:c r="D16" s="24" t="str">
        <x:v>I010-S1-02A</x:v>
      </x:c>
      <x:c r="E16" s="24" t="str">
        <x:v>2</x:v>
      </x:c>
      <x:c r="F16" s="24" t="str">
        <x:v>A</x:v>
      </x:c>
      <x:c r="G16" s="24" t="str">
        <x:v>Mái trăng còn hở</x:v>
      </x:c>
      <x:c r="H16" s="24" t="str">
        <x:v>F03</x:v>
      </x:c>
      <x:c r="I16" s="24" t="str">
        <x:v>7-10s</x:v>
      </x:c>
      <x:c r="J16" s="24" t="str">
        <x:v>STANDARD_0-2_2-7_7-9_9-10</x:v>
      </x:c>
      <x:c r="K16" s="24" t="str">
        <x:v>CLOSING_STATE</x:v>
      </x:c>
      <x:c r="L16" s="24" t="str">
        <x:v>P08-S10-MEO-PRIMARY.REFERENCE.png|P08-S10-MEO-SECONDARY.REFERENCE.png|P08-S10-BO-FRONT.REFERENCE.jpg|P08-S10-BO-SIDE.REFERENCE.jpg</x:v>
      </x:c>
      <x:c r="M16" s="24" t="str">
        <x:v>P08-S10-I010-S1-02A-F03</x:v>
      </x:c>
      <x:c r="N16" s="25" t="str">
        <x:v>PASS</x:v>
      </x:c>
    </x:row>
    <x:row r="17" ht="78" customHeight="1">
      <x:c r="A17" s="57" t="n">
        <x:v>16</x:v>
      </x:c>
      <x:c r="B17" s="24" t="str">
        <x:v>P08-S10-I010-S1-02B-F01</x:v>
      </x:c>
      <x:c r="C17" s="24" t="str">
        <x:v>STORYBOARD</x:v>
      </x:c>
      <x:c r="D17" s="24" t="str">
        <x:v>I010-S1-02B</x:v>
      </x:c>
      <x:c r="E17" s="24" t="str">
        <x:v>2</x:v>
      </x:c>
      <x:c r="F17" s="24" t="str">
        <x:v>B</x:v>
      </x:c>
      <x:c r="G17" s="24" t="str">
        <x:v>Mái trăng còn hở</x:v>
      </x:c>
      <x:c r="H17" s="24" t="str">
        <x:v>F01</x:v>
      </x:c>
      <x:c r="I17" s="24" t="str">
        <x:v>0-2s</x:v>
      </x:c>
      <x:c r="J17" s="24" t="str">
        <x:v>STANDARD_0-2_2-7_7-9_9-10</x:v>
      </x:c>
      <x:c r="K17" s="24" t="str">
        <x:v>OPENING</x:v>
      </x:c>
      <x:c r="L17" s="24" t="str">
        <x:v>P08-S10-MEO-PRIMARY.REFERENCE.png|P08-S10-MEO-SECONDARY.REFERENCE.png|P08-S10-BO-FRONT.REFERENCE.jpg|P08-S10-BO-SIDE.REFERENCE.jpg</x:v>
      </x:c>
      <x:c r="M17" s="24" t="str">
        <x:v>P08-S10-I010-S1-02B-F01</x:v>
      </x:c>
      <x:c r="N17" s="25" t="str">
        <x:v>PASS</x:v>
      </x:c>
    </x:row>
    <x:row r="18" ht="78" customHeight="1">
      <x:c r="A18" s="57" t="n">
        <x:v>17</x:v>
      </x:c>
      <x:c r="B18" s="24" t="str">
        <x:v>P08-S10-I010-S1-02B-F02</x:v>
      </x:c>
      <x:c r="C18" s="24" t="str">
        <x:v>STORYBOARD</x:v>
      </x:c>
      <x:c r="D18" s="24" t="str">
        <x:v>I010-S1-02B</x:v>
      </x:c>
      <x:c r="E18" s="24" t="str">
        <x:v>2</x:v>
      </x:c>
      <x:c r="F18" s="24" t="str">
        <x:v>B</x:v>
      </x:c>
      <x:c r="G18" s="24" t="str">
        <x:v>Mái trăng còn hở</x:v>
      </x:c>
      <x:c r="H18" s="24" t="str">
        <x:v>F02</x:v>
      </x:c>
      <x:c r="I18" s="24" t="str">
        <x:v>2-7s</x:v>
      </x:c>
      <x:c r="J18" s="24" t="str">
        <x:v>STANDARD_0-2_2-7_7-9_9-10</x:v>
      </x:c>
      <x:c r="K18" s="24" t="str">
        <x:v>CAUSAL_ACTION</x:v>
      </x:c>
      <x:c r="L18" s="24" t="str">
        <x:v>P08-S10-MEO-PRIMARY.REFERENCE.png|P08-S10-MEO-SECONDARY.REFERENCE.png|P08-S10-BO-FRONT.REFERENCE.jpg|P08-S10-BO-SIDE.REFERENCE.jpg</x:v>
      </x:c>
      <x:c r="M18" s="24" t="str">
        <x:v>P08-S10-I010-S1-02B-F02</x:v>
      </x:c>
      <x:c r="N18" s="25" t="str">
        <x:v>PASS</x:v>
      </x:c>
    </x:row>
    <x:row r="19" ht="78" customHeight="1">
      <x:c r="A19" s="57" t="n">
        <x:v>18</x:v>
      </x:c>
      <x:c r="B19" s="24" t="str">
        <x:v>P08-S10-I010-S1-02B-F03</x:v>
      </x:c>
      <x:c r="C19" s="24" t="str">
        <x:v>STORYBOARD</x:v>
      </x:c>
      <x:c r="D19" s="24" t="str">
        <x:v>I010-S1-02B</x:v>
      </x:c>
      <x:c r="E19" s="24" t="str">
        <x:v>2</x:v>
      </x:c>
      <x:c r="F19" s="24" t="str">
        <x:v>B</x:v>
      </x:c>
      <x:c r="G19" s="24" t="str">
        <x:v>Mái trăng còn hở</x:v>
      </x:c>
      <x:c r="H19" s="24" t="str">
        <x:v>F03</x:v>
      </x:c>
      <x:c r="I19" s="24" t="str">
        <x:v>7-10s</x:v>
      </x:c>
      <x:c r="J19" s="24" t="str">
        <x:v>STANDARD_0-2_2-7_7-9_9-10</x:v>
      </x:c>
      <x:c r="K19" s="24" t="str">
        <x:v>CLOSING_STATE</x:v>
      </x:c>
      <x:c r="L19" s="24" t="str">
        <x:v>P08-S10-MEO-PRIMARY.REFERENCE.png|P08-S10-MEO-SECONDARY.REFERENCE.png|P08-S10-BO-FRONT.REFERENCE.jpg|P08-S10-BO-SIDE.REFERENCE.jpg</x:v>
      </x:c>
      <x:c r="M19" s="24" t="str">
        <x:v>P08-S10-I010-S1-02B-F03</x:v>
      </x:c>
      <x:c r="N19" s="25" t="str">
        <x:v>PASS</x:v>
      </x:c>
    </x:row>
    <x:row r="20" ht="78" customHeight="1">
      <x:c r="A20" s="57" t="n">
        <x:v>19</x:v>
      </x:c>
      <x:c r="B20" s="24" t="str">
        <x:v>P08-S10-I010-S1-03A-F01</x:v>
      </x:c>
      <x:c r="C20" s="24" t="str">
        <x:v>STORYBOARD</x:v>
      </x:c>
      <x:c r="D20" s="24" t="str">
        <x:v>I010-S1-03A</x:v>
      </x:c>
      <x:c r="E20" s="24" t="str">
        <x:v>3</x:v>
      </x:c>
      <x:c r="F20" s="24" t="str">
        <x:v>A</x:v>
      </x:c>
      <x:c r="G20" s="24" t="str">
        <x:v>Thang sao bị võng</x:v>
      </x:c>
      <x:c r="H20" s="24" t="str">
        <x:v>F01</x:v>
      </x:c>
      <x:c r="I20" s="24" t="str">
        <x:v>0-2s</x:v>
      </x:c>
      <x:c r="J20" s="24" t="str">
        <x:v>STANDARD_0-2_2-7_7-9_9-10</x:v>
      </x:c>
      <x:c r="K20" s="24" t="str">
        <x:v>OPENING</x:v>
      </x:c>
      <x:c r="L20" s="24" t="str">
        <x:v>P08-S10-MEO-PRIMARY.REFERENCE.png|P08-S10-MEO-SECONDARY.REFERENCE.png|P08-S10-BO-FRONT.REFERENCE.jpg|P08-S10-BO-SIDE.REFERENCE.jpg</x:v>
      </x:c>
      <x:c r="M20" s="24" t="str">
        <x:v>P08-S10-I010-S1-03A-F01</x:v>
      </x:c>
      <x:c r="N20" s="25" t="str">
        <x:v>PASS</x:v>
      </x:c>
    </x:row>
    <x:row r="21" ht="78" customHeight="1">
      <x:c r="A21" s="57" t="n">
        <x:v>20</x:v>
      </x:c>
      <x:c r="B21" s="24" t="str">
        <x:v>P08-S10-I010-S1-03A-F02</x:v>
      </x:c>
      <x:c r="C21" s="24" t="str">
        <x:v>STORYBOARD</x:v>
      </x:c>
      <x:c r="D21" s="24" t="str">
        <x:v>I010-S1-03A</x:v>
      </x:c>
      <x:c r="E21" s="24" t="str">
        <x:v>3</x:v>
      </x:c>
      <x:c r="F21" s="24" t="str">
        <x:v>A</x:v>
      </x:c>
      <x:c r="G21" s="24" t="str">
        <x:v>Thang sao bị võng</x:v>
      </x:c>
      <x:c r="H21" s="24" t="str">
        <x:v>F02</x:v>
      </x:c>
      <x:c r="I21" s="24" t="str">
        <x:v>2-7s</x:v>
      </x:c>
      <x:c r="J21" s="24" t="str">
        <x:v>STANDARD_0-2_2-7_7-9_9-10</x:v>
      </x:c>
      <x:c r="K21" s="24" t="str">
        <x:v>CAUSAL_ACTION</x:v>
      </x:c>
      <x:c r="L21" s="24" t="str">
        <x:v>P08-S10-MEO-PRIMARY.REFERENCE.png|P08-S10-MEO-SECONDARY.REFERENCE.png|P08-S10-BO-FRONT.REFERENCE.jpg|P08-S10-BO-SIDE.REFERENCE.jpg</x:v>
      </x:c>
      <x:c r="M21" s="24" t="str">
        <x:v>P08-S10-I010-S1-03A-F02</x:v>
      </x:c>
      <x:c r="N21" s="25" t="str">
        <x:v>PASS</x:v>
      </x:c>
    </x:row>
    <x:row r="22" ht="78" customHeight="1">
      <x:c r="A22" s="57" t="n">
        <x:v>21</x:v>
      </x:c>
      <x:c r="B22" s="24" t="str">
        <x:v>P08-S10-I010-S1-03A-F03</x:v>
      </x:c>
      <x:c r="C22" s="24" t="str">
        <x:v>STORYBOARD</x:v>
      </x:c>
      <x:c r="D22" s="24" t="str">
        <x:v>I010-S1-03A</x:v>
      </x:c>
      <x:c r="E22" s="24" t="str">
        <x:v>3</x:v>
      </x:c>
      <x:c r="F22" s="24" t="str">
        <x:v>A</x:v>
      </x:c>
      <x:c r="G22" s="24" t="str">
        <x:v>Thang sao bị võng</x:v>
      </x:c>
      <x:c r="H22" s="24" t="str">
        <x:v>F03</x:v>
      </x:c>
      <x:c r="I22" s="24" t="str">
        <x:v>7-10s</x:v>
      </x:c>
      <x:c r="J22" s="24" t="str">
        <x:v>STANDARD_0-2_2-7_7-9_9-10</x:v>
      </x:c>
      <x:c r="K22" s="24" t="str">
        <x:v>CLOSING_STATE</x:v>
      </x:c>
      <x:c r="L22" s="24" t="str">
        <x:v>P08-S10-MEO-PRIMARY.REFERENCE.png|P08-S10-MEO-SECONDARY.REFERENCE.png|P08-S10-BO-FRONT.REFERENCE.jpg|P08-S10-BO-SIDE.REFERENCE.jpg</x:v>
      </x:c>
      <x:c r="M22" s="24" t="str">
        <x:v>P08-S10-I010-S1-03A-F03</x:v>
      </x:c>
      <x:c r="N22" s="25" t="str">
        <x:v>PASS</x:v>
      </x:c>
    </x:row>
    <x:row r="23" ht="78" customHeight="1">
      <x:c r="A23" s="57" t="n">
        <x:v>22</x:v>
      </x:c>
      <x:c r="B23" s="24" t="str">
        <x:v>P08-S10-I010-S1-03B-F01</x:v>
      </x:c>
      <x:c r="C23" s="24" t="str">
        <x:v>STORYBOARD</x:v>
      </x:c>
      <x:c r="D23" s="24" t="str">
        <x:v>I010-S1-03B</x:v>
      </x:c>
      <x:c r="E23" s="24" t="str">
        <x:v>3</x:v>
      </x:c>
      <x:c r="F23" s="24" t="str">
        <x:v>B</x:v>
      </x:c>
      <x:c r="G23" s="24" t="str">
        <x:v>Thang sao bị võng</x:v>
      </x:c>
      <x:c r="H23" s="24" t="str">
        <x:v>F01</x:v>
      </x:c>
      <x:c r="I23" s="24" t="str">
        <x:v>0-2s</x:v>
      </x:c>
      <x:c r="J23" s="24" t="str">
        <x:v>STANDARD_0-2_2-7_7-9_9-10</x:v>
      </x:c>
      <x:c r="K23" s="24" t="str">
        <x:v>OPENING</x:v>
      </x:c>
      <x:c r="L23" s="24" t="str">
        <x:v>P08-S10-MEO-PRIMARY.REFERENCE.png|P08-S10-MEO-SECONDARY.REFERENCE.png|P08-S10-BO-FRONT.REFERENCE.jpg|P08-S10-BO-SIDE.REFERENCE.jpg</x:v>
      </x:c>
      <x:c r="M23" s="24" t="str">
        <x:v>P08-S10-I010-S1-03B-F01</x:v>
      </x:c>
      <x:c r="N23" s="25" t="str">
        <x:v>PASS</x:v>
      </x:c>
    </x:row>
    <x:row r="24" ht="78" customHeight="1">
      <x:c r="A24" s="57" t="n">
        <x:v>23</x:v>
      </x:c>
      <x:c r="B24" s="24" t="str">
        <x:v>P08-S10-I010-S1-03B-F02</x:v>
      </x:c>
      <x:c r="C24" s="24" t="str">
        <x:v>STORYBOARD</x:v>
      </x:c>
      <x:c r="D24" s="24" t="str">
        <x:v>I010-S1-03B</x:v>
      </x:c>
      <x:c r="E24" s="24" t="str">
        <x:v>3</x:v>
      </x:c>
      <x:c r="F24" s="24" t="str">
        <x:v>B</x:v>
      </x:c>
      <x:c r="G24" s="24" t="str">
        <x:v>Thang sao bị võng</x:v>
      </x:c>
      <x:c r="H24" s="24" t="str">
        <x:v>F02</x:v>
      </x:c>
      <x:c r="I24" s="24" t="str">
        <x:v>2-7s</x:v>
      </x:c>
      <x:c r="J24" s="24" t="str">
        <x:v>STANDARD_0-2_2-7_7-9_9-10</x:v>
      </x:c>
      <x:c r="K24" s="24" t="str">
        <x:v>CAUSAL_ACTION</x:v>
      </x:c>
      <x:c r="L24" s="24" t="str">
        <x:v>P08-S10-MEO-PRIMARY.REFERENCE.png|P08-S10-MEO-SECONDARY.REFERENCE.png|P08-S10-BO-FRONT.REFERENCE.jpg|P08-S10-BO-SIDE.REFERENCE.jpg</x:v>
      </x:c>
      <x:c r="M24" s="24" t="str">
        <x:v>P08-S10-I010-S1-03B-F02</x:v>
      </x:c>
      <x:c r="N24" s="25" t="str">
        <x:v>PASS</x:v>
      </x:c>
    </x:row>
    <x:row r="25" ht="78" customHeight="1">
      <x:c r="A25" s="57" t="n">
        <x:v>24</x:v>
      </x:c>
      <x:c r="B25" s="24" t="str">
        <x:v>P08-S10-I010-S1-03B-F03</x:v>
      </x:c>
      <x:c r="C25" s="24" t="str">
        <x:v>STORYBOARD</x:v>
      </x:c>
      <x:c r="D25" s="24" t="str">
        <x:v>I010-S1-03B</x:v>
      </x:c>
      <x:c r="E25" s="24" t="str">
        <x:v>3</x:v>
      </x:c>
      <x:c r="F25" s="24" t="str">
        <x:v>B</x:v>
      </x:c>
      <x:c r="G25" s="24" t="str">
        <x:v>Thang sao bị võng</x:v>
      </x:c>
      <x:c r="H25" s="24" t="str">
        <x:v>F03</x:v>
      </x:c>
      <x:c r="I25" s="24" t="str">
        <x:v>7-10s</x:v>
      </x:c>
      <x:c r="J25" s="24" t="str">
        <x:v>STANDARD_0-2_2-7_7-9_9-10</x:v>
      </x:c>
      <x:c r="K25" s="24" t="str">
        <x:v>CLOSING_STATE</x:v>
      </x:c>
      <x:c r="L25" s="24" t="str">
        <x:v>P08-S10-MEO-PRIMARY.REFERENCE.png|P08-S10-MEO-SECONDARY.REFERENCE.png|P08-S10-BO-FRONT.REFERENCE.jpg|P08-S10-BO-SIDE.REFERENCE.jpg</x:v>
      </x:c>
      <x:c r="M25" s="24" t="str">
        <x:v>P08-S10-I010-S1-03B-F03</x:v>
      </x:c>
      <x:c r="N25" s="25" t="str">
        <x:v>PASS</x:v>
      </x:c>
    </x:row>
    <x:row r="26" ht="78" customHeight="1">
      <x:c r="A26" s="57" t="n">
        <x:v>25</x:v>
      </x:c>
      <x:c r="B26" s="24" t="str">
        <x:v>P08-S10-I010-S1-04A-F01</x:v>
      </x:c>
      <x:c r="C26" s="24" t="str">
        <x:v>STORYBOARD</x:v>
      </x:c>
      <x:c r="D26" s="24" t="str">
        <x:v>I010-S1-04A</x:v>
      </x:c>
      <x:c r="E26" s="24" t="str">
        <x:v>4</x:v>
      </x:c>
      <x:c r="F26" s="24" t="str">
        <x:v>A</x:v>
      </x:c>
      <x:c r="G26" s="24" t="str">
        <x:v>Cửa sổ ánh trăng</x:v>
      </x:c>
      <x:c r="H26" s="24" t="str">
        <x:v>F01</x:v>
      </x:c>
      <x:c r="I26" s="24" t="str">
        <x:v>0-2s</x:v>
      </x:c>
      <x:c r="J26" s="24" t="str">
        <x:v>STANDARD_0-2_2-7_7-9_9-10</x:v>
      </x:c>
      <x:c r="K26" s="24" t="str">
        <x:v>OPENING</x:v>
      </x:c>
      <x:c r="L26" s="24" t="str">
        <x:v>P08-S10-MEO-PRIMARY.REFERENCE.png|P08-S10-MEO-SECONDARY.REFERENCE.png|P08-S10-BO-FRONT.REFERENCE.jpg|P08-S10-BO-SIDE.REFERENCE.jpg</x:v>
      </x:c>
      <x:c r="M26" s="24" t="str">
        <x:v>P08-S10-I010-S1-04A-F01</x:v>
      </x:c>
      <x:c r="N26" s="25" t="str">
        <x:v>PASS</x:v>
      </x:c>
    </x:row>
    <x:row r="27" ht="78" customHeight="1">
      <x:c r="A27" s="57" t="n">
        <x:v>26</x:v>
      </x:c>
      <x:c r="B27" s="24" t="str">
        <x:v>P08-S10-I010-S1-04A-F02</x:v>
      </x:c>
      <x:c r="C27" s="24" t="str">
        <x:v>STORYBOARD</x:v>
      </x:c>
      <x:c r="D27" s="24" t="str">
        <x:v>I010-S1-04A</x:v>
      </x:c>
      <x:c r="E27" s="24" t="str">
        <x:v>4</x:v>
      </x:c>
      <x:c r="F27" s="24" t="str">
        <x:v>A</x:v>
      </x:c>
      <x:c r="G27" s="24" t="str">
        <x:v>Cửa sổ ánh trăng</x:v>
      </x:c>
      <x:c r="H27" s="24" t="str">
        <x:v>F02</x:v>
      </x:c>
      <x:c r="I27" s="24" t="str">
        <x:v>2-7s</x:v>
      </x:c>
      <x:c r="J27" s="24" t="str">
        <x:v>STANDARD_0-2_2-7_7-9_9-10</x:v>
      </x:c>
      <x:c r="K27" s="24" t="str">
        <x:v>CAUSAL_ACTION</x:v>
      </x:c>
      <x:c r="L27" s="24" t="str">
        <x:v>P08-S10-MEO-PRIMARY.REFERENCE.png|P08-S10-MEO-SECONDARY.REFERENCE.png|P08-S10-BO-FRONT.REFERENCE.jpg|P08-S10-BO-SIDE.REFERENCE.jpg</x:v>
      </x:c>
      <x:c r="M27" s="24" t="str">
        <x:v>P08-S10-I010-S1-04A-F02</x:v>
      </x:c>
      <x:c r="N27" s="25" t="str">
        <x:v>PASS</x:v>
      </x:c>
    </x:row>
    <x:row r="28" ht="78" customHeight="1">
      <x:c r="A28" s="57" t="n">
        <x:v>27</x:v>
      </x:c>
      <x:c r="B28" s="24" t="str">
        <x:v>P08-S10-I010-S1-04A-F03</x:v>
      </x:c>
      <x:c r="C28" s="24" t="str">
        <x:v>STORYBOARD</x:v>
      </x:c>
      <x:c r="D28" s="24" t="str">
        <x:v>I010-S1-04A</x:v>
      </x:c>
      <x:c r="E28" s="24" t="str">
        <x:v>4</x:v>
      </x:c>
      <x:c r="F28" s="24" t="str">
        <x:v>A</x:v>
      </x:c>
      <x:c r="G28" s="24" t="str">
        <x:v>Cửa sổ ánh trăng</x:v>
      </x:c>
      <x:c r="H28" s="24" t="str">
        <x:v>F03</x:v>
      </x:c>
      <x:c r="I28" s="24" t="str">
        <x:v>7-10s</x:v>
      </x:c>
      <x:c r="J28" s="24" t="str">
        <x:v>STANDARD_0-2_2-7_7-9_9-10</x:v>
      </x:c>
      <x:c r="K28" s="24" t="str">
        <x:v>CLOSING_STATE</x:v>
      </x:c>
      <x:c r="L28" s="24" t="str">
        <x:v>P08-S10-MEO-PRIMARY.REFERENCE.png|P08-S10-MEO-SECONDARY.REFERENCE.png|P08-S10-BO-FRONT.REFERENCE.jpg|P08-S10-BO-SIDE.REFERENCE.jpg</x:v>
      </x:c>
      <x:c r="M28" s="24" t="str">
        <x:v>P08-S10-I010-S1-04A-F03</x:v>
      </x:c>
      <x:c r="N28" s="25" t="str">
        <x:v>PASS</x:v>
      </x:c>
    </x:row>
    <x:row r="29" ht="78" customHeight="1">
      <x:c r="A29" s="57" t="n">
        <x:v>28</x:v>
      </x:c>
      <x:c r="B29" s="24" t="str">
        <x:v>P08-S10-I010-S1-04B-F01</x:v>
      </x:c>
      <x:c r="C29" s="24" t="str">
        <x:v>STORYBOARD</x:v>
      </x:c>
      <x:c r="D29" s="24" t="str">
        <x:v>I010-S1-04B</x:v>
      </x:c>
      <x:c r="E29" s="24" t="str">
        <x:v>4</x:v>
      </x:c>
      <x:c r="F29" s="24" t="str">
        <x:v>B</x:v>
      </x:c>
      <x:c r="G29" s="24" t="str">
        <x:v>Cửa sổ ánh trăng</x:v>
      </x:c>
      <x:c r="H29" s="24" t="str">
        <x:v>F01</x:v>
      </x:c>
      <x:c r="I29" s="24" t="str">
        <x:v>0-2s</x:v>
      </x:c>
      <x:c r="J29" s="24" t="str">
        <x:v>STANDARD_0-2_2-7_7-9_9-10</x:v>
      </x:c>
      <x:c r="K29" s="24" t="str">
        <x:v>OPENING</x:v>
      </x:c>
      <x:c r="L29" s="24" t="str">
        <x:v>P08-S10-MEO-PRIMARY.REFERENCE.png|P08-S10-MEO-SECONDARY.REFERENCE.png|P08-S10-BO-FRONT.REFERENCE.jpg|P08-S10-BO-SIDE.REFERENCE.jpg</x:v>
      </x:c>
      <x:c r="M29" s="24" t="str">
        <x:v>P08-S10-I010-S1-04B-F01</x:v>
      </x:c>
      <x:c r="N29" s="25" t="str">
        <x:v>PASS</x:v>
      </x:c>
    </x:row>
    <x:row r="30" ht="78" customHeight="1">
      <x:c r="A30" s="57" t="n">
        <x:v>29</x:v>
      </x:c>
      <x:c r="B30" s="24" t="str">
        <x:v>P08-S10-I010-S1-04B-F02</x:v>
      </x:c>
      <x:c r="C30" s="24" t="str">
        <x:v>STORYBOARD</x:v>
      </x:c>
      <x:c r="D30" s="24" t="str">
        <x:v>I010-S1-04B</x:v>
      </x:c>
      <x:c r="E30" s="24" t="str">
        <x:v>4</x:v>
      </x:c>
      <x:c r="F30" s="24" t="str">
        <x:v>B</x:v>
      </x:c>
      <x:c r="G30" s="24" t="str">
        <x:v>Cửa sổ ánh trăng</x:v>
      </x:c>
      <x:c r="H30" s="24" t="str">
        <x:v>F02</x:v>
      </x:c>
      <x:c r="I30" s="24" t="str">
        <x:v>2-7s</x:v>
      </x:c>
      <x:c r="J30" s="24" t="str">
        <x:v>STANDARD_0-2_2-7_7-9_9-10</x:v>
      </x:c>
      <x:c r="K30" s="24" t="str">
        <x:v>CAUSAL_ACTION</x:v>
      </x:c>
      <x:c r="L30" s="24" t="str">
        <x:v>P08-S10-MEO-PRIMARY.REFERENCE.png|P08-S10-MEO-SECONDARY.REFERENCE.png|P08-S10-BO-FRONT.REFERENCE.jpg|P08-S10-BO-SIDE.REFERENCE.jpg</x:v>
      </x:c>
      <x:c r="M30" s="24" t="str">
        <x:v>P08-S10-I010-S1-04B-F02</x:v>
      </x:c>
      <x:c r="N30" s="25" t="str">
        <x:v>PASS</x:v>
      </x:c>
    </x:row>
    <x:row r="31" ht="78" customHeight="1">
      <x:c r="A31" s="57" t="n">
        <x:v>30</x:v>
      </x:c>
      <x:c r="B31" s="24" t="str">
        <x:v>P08-S10-I010-S1-04B-F03</x:v>
      </x:c>
      <x:c r="C31" s="24" t="str">
        <x:v>STORYBOARD</x:v>
      </x:c>
      <x:c r="D31" s="24" t="str">
        <x:v>I010-S1-04B</x:v>
      </x:c>
      <x:c r="E31" s="24" t="str">
        <x:v>4</x:v>
      </x:c>
      <x:c r="F31" s="24" t="str">
        <x:v>B</x:v>
      </x:c>
      <x:c r="G31" s="24" t="str">
        <x:v>Cửa sổ ánh trăng</x:v>
      </x:c>
      <x:c r="H31" s="24" t="str">
        <x:v>F03</x:v>
      </x:c>
      <x:c r="I31" s="24" t="str">
        <x:v>7-10s</x:v>
      </x:c>
      <x:c r="J31" s="24" t="str">
        <x:v>STANDARD_0-2_2-7_7-9_9-10</x:v>
      </x:c>
      <x:c r="K31" s="24" t="str">
        <x:v>CLOSING_STATE</x:v>
      </x:c>
      <x:c r="L31" s="24" t="str">
        <x:v>P08-S10-MEO-PRIMARY.REFERENCE.png|P08-S10-MEO-SECONDARY.REFERENCE.png|P08-S10-BO-FRONT.REFERENCE.jpg|P08-S10-BO-SIDE.REFERENCE.jpg</x:v>
      </x:c>
      <x:c r="M31" s="24" t="str">
        <x:v>P08-S10-I010-S1-04B-F03</x:v>
      </x:c>
      <x:c r="N31" s="25" t="str">
        <x:v>PASS</x:v>
      </x:c>
    </x:row>
    <x:row r="32" ht="78" customHeight="1">
      <x:c r="A32" s="57" t="n">
        <x:v>31</x:v>
      </x:c>
      <x:c r="B32" s="24" t="str">
        <x:v>P08-S10-I010-S1-05A-F01</x:v>
      </x:c>
      <x:c r="C32" s="24" t="str">
        <x:v>STORYBOARD</x:v>
      </x:c>
      <x:c r="D32" s="24" t="str">
        <x:v>I010-S1-05A</x:v>
      </x:c>
      <x:c r="E32" s="24" t="str">
        <x:v>5</x:v>
      </x:c>
      <x:c r="F32" s="24" t="str">
        <x:v>A</x:v>
      </x:c>
      <x:c r="G32" s="24" t="str">
        <x:v>Cầu trượt ngôi sao</x:v>
      </x:c>
      <x:c r="H32" s="24" t="str">
        <x:v>F01</x:v>
      </x:c>
      <x:c r="I32" s="24" t="str">
        <x:v>0-2s</x:v>
      </x:c>
      <x:c r="J32" s="24" t="str">
        <x:v>STANDARD_0-2_2-7_7-9_9-10</x:v>
      </x:c>
      <x:c r="K32" s="24" t="str">
        <x:v>OPENING</x:v>
      </x:c>
      <x:c r="L32" s="24" t="str">
        <x:v>P08-S10-MEO-PRIMARY.REFERENCE.png|P08-S10-MEO-SECONDARY.REFERENCE.png|P08-S10-BO-FRONT.REFERENCE.jpg|P08-S10-BO-SIDE.REFERENCE.jpg</x:v>
      </x:c>
      <x:c r="M32" s="24" t="str">
        <x:v>P08-S10-I010-S1-05A-F01</x:v>
      </x:c>
      <x:c r="N32" s="25" t="str">
        <x:v>PASS</x:v>
      </x:c>
    </x:row>
    <x:row r="33" ht="78" customHeight="1">
      <x:c r="A33" s="57" t="n">
        <x:v>32</x:v>
      </x:c>
      <x:c r="B33" s="24" t="str">
        <x:v>P08-S10-I010-S1-05A-F02</x:v>
      </x:c>
      <x:c r="C33" s="24" t="str">
        <x:v>STORYBOARD</x:v>
      </x:c>
      <x:c r="D33" s="24" t="str">
        <x:v>I010-S1-05A</x:v>
      </x:c>
      <x:c r="E33" s="24" t="str">
        <x:v>5</x:v>
      </x:c>
      <x:c r="F33" s="24" t="str">
        <x:v>A</x:v>
      </x:c>
      <x:c r="G33" s="24" t="str">
        <x:v>Cầu trượt ngôi sao</x:v>
      </x:c>
      <x:c r="H33" s="24" t="str">
        <x:v>F02</x:v>
      </x:c>
      <x:c r="I33" s="24" t="str">
        <x:v>2-7s</x:v>
      </x:c>
      <x:c r="J33" s="24" t="str">
        <x:v>STANDARD_0-2_2-7_7-9_9-10</x:v>
      </x:c>
      <x:c r="K33" s="24" t="str">
        <x:v>CAUSAL_ACTION</x:v>
      </x:c>
      <x:c r="L33" s="24" t="str">
        <x:v>P08-S10-MEO-PRIMARY.REFERENCE.png|P08-S10-MEO-SECONDARY.REFERENCE.png|P08-S10-BO-FRONT.REFERENCE.jpg|P08-S10-BO-SIDE.REFERENCE.jpg</x:v>
      </x:c>
      <x:c r="M33" s="24" t="str">
        <x:v>P08-S10-I010-S1-05A-F02</x:v>
      </x:c>
      <x:c r="N33" s="25" t="str">
        <x:v>PASS</x:v>
      </x:c>
    </x:row>
    <x:row r="34" ht="78" customHeight="1">
      <x:c r="A34" s="57" t="n">
        <x:v>33</x:v>
      </x:c>
      <x:c r="B34" s="24" t="str">
        <x:v>P08-S10-I010-S1-05A-F03</x:v>
      </x:c>
      <x:c r="C34" s="24" t="str">
        <x:v>STORYBOARD</x:v>
      </x:c>
      <x:c r="D34" s="24" t="str">
        <x:v>I010-S1-05A</x:v>
      </x:c>
      <x:c r="E34" s="24" t="str">
        <x:v>5</x:v>
      </x:c>
      <x:c r="F34" s="24" t="str">
        <x:v>A</x:v>
      </x:c>
      <x:c r="G34" s="24" t="str">
        <x:v>Cầu trượt ngôi sao</x:v>
      </x:c>
      <x:c r="H34" s="24" t="str">
        <x:v>F03</x:v>
      </x:c>
      <x:c r="I34" s="24" t="str">
        <x:v>7-10s</x:v>
      </x:c>
      <x:c r="J34" s="24" t="str">
        <x:v>STANDARD_0-2_2-7_7-9_9-10</x:v>
      </x:c>
      <x:c r="K34" s="24" t="str">
        <x:v>CLOSING_STATE</x:v>
      </x:c>
      <x:c r="L34" s="24" t="str">
        <x:v>P08-S10-MEO-PRIMARY.REFERENCE.png|P08-S10-MEO-SECONDARY.REFERENCE.png|P08-S10-BO-FRONT.REFERENCE.jpg|P08-S10-BO-SIDE.REFERENCE.jpg</x:v>
      </x:c>
      <x:c r="M34" s="24" t="str">
        <x:v>P08-S10-I010-S1-05A-F03</x:v>
      </x:c>
      <x:c r="N34" s="25" t="str">
        <x:v>PASS</x:v>
      </x:c>
    </x:row>
    <x:row r="35" ht="78" customHeight="1">
      <x:c r="A35" s="57" t="n">
        <x:v>34</x:v>
      </x:c>
      <x:c r="B35" s="24" t="str">
        <x:v>P08-S10-I010-S1-05B-F01</x:v>
      </x:c>
      <x:c r="C35" s="24" t="str">
        <x:v>STORYBOARD</x:v>
      </x:c>
      <x:c r="D35" s="24" t="str">
        <x:v>I010-S1-05B</x:v>
      </x:c>
      <x:c r="E35" s="24" t="str">
        <x:v>5</x:v>
      </x:c>
      <x:c r="F35" s="24" t="str">
        <x:v>B</x:v>
      </x:c>
      <x:c r="G35" s="24" t="str">
        <x:v>Cầu trượt ngôi sao</x:v>
      </x:c>
      <x:c r="H35" s="24" t="str">
        <x:v>F01</x:v>
      </x:c>
      <x:c r="I35" s="24" t="str">
        <x:v>0-2s</x:v>
      </x:c>
      <x:c r="J35" s="24" t="str">
        <x:v>STANDARD_0-2_2-7_7-9_9-10</x:v>
      </x:c>
      <x:c r="K35" s="24" t="str">
        <x:v>OPENING</x:v>
      </x:c>
      <x:c r="L35" s="24" t="str">
        <x:v>P08-S10-MEO-PRIMARY.REFERENCE.png|P08-S10-MEO-SECONDARY.REFERENCE.png|P08-S10-BO-FRONT.REFERENCE.jpg|P08-S10-BO-SIDE.REFERENCE.jpg</x:v>
      </x:c>
      <x:c r="M35" s="24" t="str">
        <x:v>P08-S10-I010-S1-05B-F01</x:v>
      </x:c>
      <x:c r="N35" s="25" t="str">
        <x:v>PASS</x:v>
      </x:c>
    </x:row>
    <x:row r="36" ht="78" customHeight="1">
      <x:c r="A36" s="57" t="n">
        <x:v>35</x:v>
      </x:c>
      <x:c r="B36" s="24" t="str">
        <x:v>P08-S10-I010-S1-05B-F02</x:v>
      </x:c>
      <x:c r="C36" s="24" t="str">
        <x:v>STORYBOARD</x:v>
      </x:c>
      <x:c r="D36" s="24" t="str">
        <x:v>I010-S1-05B</x:v>
      </x:c>
      <x:c r="E36" s="24" t="str">
        <x:v>5</x:v>
      </x:c>
      <x:c r="F36" s="24" t="str">
        <x:v>B</x:v>
      </x:c>
      <x:c r="G36" s="24" t="str">
        <x:v>Cầu trượt ngôi sao</x:v>
      </x:c>
      <x:c r="H36" s="24" t="str">
        <x:v>F02</x:v>
      </x:c>
      <x:c r="I36" s="24" t="str">
        <x:v>2-7s</x:v>
      </x:c>
      <x:c r="J36" s="24" t="str">
        <x:v>STANDARD_0-2_2-7_7-9_9-10</x:v>
      </x:c>
      <x:c r="K36" s="24" t="str">
        <x:v>CAUSAL_ACTION</x:v>
      </x:c>
      <x:c r="L36" s="24" t="str">
        <x:v>P08-S10-MEO-PRIMARY.REFERENCE.png|P08-S10-MEO-SECONDARY.REFERENCE.png|P08-S10-BO-FRONT.REFERENCE.jpg|P08-S10-BO-SIDE.REFERENCE.jpg</x:v>
      </x:c>
      <x:c r="M36" s="24" t="str">
        <x:v>P08-S10-I010-S1-05B-F02</x:v>
      </x:c>
      <x:c r="N36" s="25" t="str">
        <x:v>PASS</x:v>
      </x:c>
    </x:row>
    <x:row r="37" ht="78" customHeight="1">
      <x:c r="A37" s="57" t="n">
        <x:v>36</x:v>
      </x:c>
      <x:c r="B37" s="24" t="str">
        <x:v>P08-S10-I010-S1-05B-F03</x:v>
      </x:c>
      <x:c r="C37" s="24" t="str">
        <x:v>STORYBOARD</x:v>
      </x:c>
      <x:c r="D37" s="24" t="str">
        <x:v>I010-S1-05B</x:v>
      </x:c>
      <x:c r="E37" s="24" t="str">
        <x:v>5</x:v>
      </x:c>
      <x:c r="F37" s="24" t="str">
        <x:v>B</x:v>
      </x:c>
      <x:c r="G37" s="24" t="str">
        <x:v>Cầu trượt ngôi sao</x:v>
      </x:c>
      <x:c r="H37" s="24" t="str">
        <x:v>F03</x:v>
      </x:c>
      <x:c r="I37" s="24" t="str">
        <x:v>7-10s</x:v>
      </x:c>
      <x:c r="J37" s="24" t="str">
        <x:v>STANDARD_0-2_2-7_7-9_9-10</x:v>
      </x:c>
      <x:c r="K37" s="24" t="str">
        <x:v>CLOSING_STATE</x:v>
      </x:c>
      <x:c r="L37" s="24" t="str">
        <x:v>P08-S10-MEO-PRIMARY.REFERENCE.png|P08-S10-MEO-SECONDARY.REFERENCE.png|P08-S10-BO-FRONT.REFERENCE.jpg|P08-S10-BO-SIDE.REFERENCE.jpg</x:v>
      </x:c>
      <x:c r="M37" s="24" t="str">
        <x:v>P08-S10-I010-S1-05B-F03</x:v>
      </x:c>
      <x:c r="N37" s="25" t="str">
        <x:v>PASS</x:v>
      </x:c>
    </x:row>
    <x:row r="38" ht="78" customHeight="1">
      <x:c r="A38" s="57" t="n">
        <x:v>37</x:v>
      </x:c>
      <x:c r="B38" s="24" t="str">
        <x:v>P08-S10-I010-S1-06A-F01</x:v>
      </x:c>
      <x:c r="C38" s="24" t="str">
        <x:v>STORYBOARD</x:v>
      </x:c>
      <x:c r="D38" s="24" t="str">
        <x:v>I010-S1-06A</x:v>
      </x:c>
      <x:c r="E38" s="24" t="str">
        <x:v>6</x:v>
      </x:c>
      <x:c r="F38" s="24" t="str">
        <x:v>A</x:v>
      </x:c>
      <x:c r="G38" s="24" t="str">
        <x:v>Gương trăng bạc</x:v>
      </x:c>
      <x:c r="H38" s="24" t="str">
        <x:v>F01</x:v>
      </x:c>
      <x:c r="I38" s="24" t="str">
        <x:v>0-2s</x:v>
      </x:c>
      <x:c r="J38" s="24" t="str">
        <x:v>STANDARD_0-2_2-7_7-9_9-10</x:v>
      </x:c>
      <x:c r="K38" s="24" t="str">
        <x:v>OPENING</x:v>
      </x:c>
      <x:c r="L38" s="24" t="str">
        <x:v>P08-S10-MEO-PRIMARY.REFERENCE.png|P08-S10-MEO-SECONDARY.REFERENCE.png|P08-S10-BO-FRONT.REFERENCE.jpg|P08-S10-BO-SIDE.REFERENCE.jpg</x:v>
      </x:c>
      <x:c r="M38" s="24" t="str">
        <x:v>P08-S10-I010-S1-06A-F01</x:v>
      </x:c>
      <x:c r="N38" s="25" t="str">
        <x:v>PASS</x:v>
      </x:c>
    </x:row>
    <x:row r="39" ht="78" customHeight="1">
      <x:c r="A39" s="57" t="n">
        <x:v>38</x:v>
      </x:c>
      <x:c r="B39" s="24" t="str">
        <x:v>P08-S10-I010-S1-06A-F02</x:v>
      </x:c>
      <x:c r="C39" s="24" t="str">
        <x:v>STORYBOARD</x:v>
      </x:c>
      <x:c r="D39" s="24" t="str">
        <x:v>I010-S1-06A</x:v>
      </x:c>
      <x:c r="E39" s="24" t="str">
        <x:v>6</x:v>
      </x:c>
      <x:c r="F39" s="24" t="str">
        <x:v>A</x:v>
      </x:c>
      <x:c r="G39" s="24" t="str">
        <x:v>Gương trăng bạc</x:v>
      </x:c>
      <x:c r="H39" s="24" t="str">
        <x:v>F02</x:v>
      </x:c>
      <x:c r="I39" s="24" t="str">
        <x:v>2-7s</x:v>
      </x:c>
      <x:c r="J39" s="24" t="str">
        <x:v>STANDARD_0-2_2-7_7-9_9-10</x:v>
      </x:c>
      <x:c r="K39" s="24" t="str">
        <x:v>CAUSAL_ACTION</x:v>
      </x:c>
      <x:c r="L39" s="24" t="str">
        <x:v>P08-S10-MEO-PRIMARY.REFERENCE.png|P08-S10-MEO-SECONDARY.REFERENCE.png|P08-S10-BO-FRONT.REFERENCE.jpg|P08-S10-BO-SIDE.REFERENCE.jpg</x:v>
      </x:c>
      <x:c r="M39" s="24" t="str">
        <x:v>P08-S10-I010-S1-06A-F02</x:v>
      </x:c>
      <x:c r="N39" s="25" t="str">
        <x:v>PASS</x:v>
      </x:c>
    </x:row>
    <x:row r="40" ht="78" customHeight="1">
      <x:c r="A40" s="57" t="n">
        <x:v>39</x:v>
      </x:c>
      <x:c r="B40" s="24" t="str">
        <x:v>P08-S10-I010-S1-06A-F03</x:v>
      </x:c>
      <x:c r="C40" s="24" t="str">
        <x:v>STORYBOARD</x:v>
      </x:c>
      <x:c r="D40" s="24" t="str">
        <x:v>I010-S1-06A</x:v>
      </x:c>
      <x:c r="E40" s="24" t="str">
        <x:v>6</x:v>
      </x:c>
      <x:c r="F40" s="24" t="str">
        <x:v>A</x:v>
      </x:c>
      <x:c r="G40" s="24" t="str">
        <x:v>Gương trăng bạc</x:v>
      </x:c>
      <x:c r="H40" s="24" t="str">
        <x:v>F03</x:v>
      </x:c>
      <x:c r="I40" s="24" t="str">
        <x:v>7-10s</x:v>
      </x:c>
      <x:c r="J40" s="24" t="str">
        <x:v>STANDARD_0-2_2-7_7-9_9-10</x:v>
      </x:c>
      <x:c r="K40" s="24" t="str">
        <x:v>CLOSING_STATE</x:v>
      </x:c>
      <x:c r="L40" s="24" t="str">
        <x:v>P08-S10-MEO-PRIMARY.REFERENCE.png|P08-S10-MEO-SECONDARY.REFERENCE.png|P08-S10-BO-FRONT.REFERENCE.jpg|P08-S10-BO-SIDE.REFERENCE.jpg</x:v>
      </x:c>
      <x:c r="M40" s="24" t="str">
        <x:v>P08-S10-I010-S1-06A-F03</x:v>
      </x:c>
      <x:c r="N40" s="25" t="str">
        <x:v>PASS</x:v>
      </x:c>
    </x:row>
    <x:row r="41" ht="78" customHeight="1">
      <x:c r="A41" s="57" t="n">
        <x:v>40</x:v>
      </x:c>
      <x:c r="B41" s="24" t="str">
        <x:v>P08-S10-I010-S1-06B-F01</x:v>
      </x:c>
      <x:c r="C41" s="24" t="str">
        <x:v>STORYBOARD</x:v>
      </x:c>
      <x:c r="D41" s="24" t="str">
        <x:v>I010-S1-06B</x:v>
      </x:c>
      <x:c r="E41" s="24" t="str">
        <x:v>6</x:v>
      </x:c>
      <x:c r="F41" s="24" t="str">
        <x:v>B</x:v>
      </x:c>
      <x:c r="G41" s="24" t="str">
        <x:v>Gương trăng bạc</x:v>
      </x:c>
      <x:c r="H41" s="24" t="str">
        <x:v>F01</x:v>
      </x:c>
      <x:c r="I41" s="24" t="str">
        <x:v>0-2s</x:v>
      </x:c>
      <x:c r="J41" s="24" t="str">
        <x:v>STANDARD_0-2_2-7_7-9_9-10</x:v>
      </x:c>
      <x:c r="K41" s="24" t="str">
        <x:v>OPENING</x:v>
      </x:c>
      <x:c r="L41" s="24" t="str">
        <x:v>P08-S10-MEO-PRIMARY.REFERENCE.png|P08-S10-MEO-SECONDARY.REFERENCE.png|P08-S10-BO-FRONT.REFERENCE.jpg|P08-S10-BO-SIDE.REFERENCE.jpg</x:v>
      </x:c>
      <x:c r="M41" s="24" t="str">
        <x:v>P08-S10-I010-S1-06B-F01</x:v>
      </x:c>
      <x:c r="N41" s="25" t="str">
        <x:v>PASS</x:v>
      </x:c>
    </x:row>
    <x:row r="42" ht="78" customHeight="1">
      <x:c r="A42" s="57" t="n">
        <x:v>41</x:v>
      </x:c>
      <x:c r="B42" s="24" t="str">
        <x:v>P08-S10-I010-S1-06B-F02</x:v>
      </x:c>
      <x:c r="C42" s="24" t="str">
        <x:v>STORYBOARD</x:v>
      </x:c>
      <x:c r="D42" s="24" t="str">
        <x:v>I010-S1-06B</x:v>
      </x:c>
      <x:c r="E42" s="24" t="str">
        <x:v>6</x:v>
      </x:c>
      <x:c r="F42" s="24" t="str">
        <x:v>B</x:v>
      </x:c>
      <x:c r="G42" s="24" t="str">
        <x:v>Gương trăng bạc</x:v>
      </x:c>
      <x:c r="H42" s="24" t="str">
        <x:v>F02</x:v>
      </x:c>
      <x:c r="I42" s="24" t="str">
        <x:v>2-7s</x:v>
      </x:c>
      <x:c r="J42" s="24" t="str">
        <x:v>STANDARD_0-2_2-7_7-9_9-10</x:v>
      </x:c>
      <x:c r="K42" s="24" t="str">
        <x:v>CAUSAL_ACTION</x:v>
      </x:c>
      <x:c r="L42" s="24" t="str">
        <x:v>P08-S10-MEO-PRIMARY.REFERENCE.png|P08-S10-MEO-SECONDARY.REFERENCE.png|P08-S10-BO-FRONT.REFERENCE.jpg|P08-S10-BO-SIDE.REFERENCE.jpg</x:v>
      </x:c>
      <x:c r="M42" s="24" t="str">
        <x:v>P08-S10-I010-S1-06B-F02</x:v>
      </x:c>
      <x:c r="N42" s="25" t="str">
        <x:v>PASS</x:v>
      </x:c>
    </x:row>
    <x:row r="43" ht="78" customHeight="1">
      <x:c r="A43" s="57" t="n">
        <x:v>42</x:v>
      </x:c>
      <x:c r="B43" s="24" t="str">
        <x:v>P08-S10-I010-S1-06B-F03</x:v>
      </x:c>
      <x:c r="C43" s="24" t="str">
        <x:v>STORYBOARD</x:v>
      </x:c>
      <x:c r="D43" s="24" t="str">
        <x:v>I010-S1-06B</x:v>
      </x:c>
      <x:c r="E43" s="24" t="str">
        <x:v>6</x:v>
      </x:c>
      <x:c r="F43" s="24" t="str">
        <x:v>B</x:v>
      </x:c>
      <x:c r="G43" s="24" t="str">
        <x:v>Gương trăng bạc</x:v>
      </x:c>
      <x:c r="H43" s="24" t="str">
        <x:v>F03</x:v>
      </x:c>
      <x:c r="I43" s="24" t="str">
        <x:v>7-10s</x:v>
      </x:c>
      <x:c r="J43" s="24" t="str">
        <x:v>STANDARD_0-2_2-7_7-9_9-10</x:v>
      </x:c>
      <x:c r="K43" s="24" t="str">
        <x:v>CLOSING_STATE</x:v>
      </x:c>
      <x:c r="L43" s="24" t="str">
        <x:v>P08-S10-MEO-PRIMARY.REFERENCE.png|P08-S10-MEO-SECONDARY.REFERENCE.png|P08-S10-BO-FRONT.REFERENCE.jpg|P08-S10-BO-SIDE.REFERENCE.jpg</x:v>
      </x:c>
      <x:c r="M43" s="24" t="str">
        <x:v>P08-S10-I010-S1-06B-F03</x:v>
      </x:c>
      <x:c r="N43" s="25" t="str">
        <x:v>PASS</x:v>
      </x:c>
    </x:row>
    <x:row r="44" ht="78" customHeight="1">
      <x:c r="A44" s="57" t="n">
        <x:v>43</x:v>
      </x:c>
      <x:c r="B44" s="24" t="str">
        <x:v>P08-S10-I010-S1-07A-F01</x:v>
      </x:c>
      <x:c r="C44" s="24" t="str">
        <x:v>STORYBOARD</x:v>
      </x:c>
      <x:c r="D44" s="24" t="str">
        <x:v>I010-S1-07A</x:v>
      </x:c>
      <x:c r="E44" s="24" t="str">
        <x:v>7</x:v>
      </x:c>
      <x:c r="F44" s="24" t="str">
        <x:v>A</x:v>
      </x:c>
      <x:c r="G44" s="24" t="str">
        <x:v>Lăng kính mặt trăng</x:v>
      </x:c>
      <x:c r="H44" s="24" t="str">
        <x:v>F01</x:v>
      </x:c>
      <x:c r="I44" s="24" t="str">
        <x:v>0-2s</x:v>
      </x:c>
      <x:c r="J44" s="24" t="str">
        <x:v>STANDARD_0-2_2-7_7-9_9-10</x:v>
      </x:c>
      <x:c r="K44" s="24" t="str">
        <x:v>OPENING</x:v>
      </x:c>
      <x:c r="L44" s="24" t="str">
        <x:v>P08-S10-MEO-PRIMARY.REFERENCE.png|P08-S10-MEO-SECONDARY.REFERENCE.png|P08-S10-BO-FRONT.REFERENCE.jpg|P08-S10-BO-SIDE.REFERENCE.jpg</x:v>
      </x:c>
      <x:c r="M44" s="24" t="str">
        <x:v>P08-S10-I010-S1-07A-F01</x:v>
      </x:c>
      <x:c r="N44" s="25" t="str">
        <x:v>PASS</x:v>
      </x:c>
    </x:row>
    <x:row r="45" ht="78" customHeight="1">
      <x:c r="A45" s="57" t="n">
        <x:v>44</x:v>
      </x:c>
      <x:c r="B45" s="24" t="str">
        <x:v>P08-S10-I010-S1-07A-F02</x:v>
      </x:c>
      <x:c r="C45" s="24" t="str">
        <x:v>STORYBOARD</x:v>
      </x:c>
      <x:c r="D45" s="24" t="str">
        <x:v>I010-S1-07A</x:v>
      </x:c>
      <x:c r="E45" s="24" t="str">
        <x:v>7</x:v>
      </x:c>
      <x:c r="F45" s="24" t="str">
        <x:v>A</x:v>
      </x:c>
      <x:c r="G45" s="24" t="str">
        <x:v>Lăng kính mặt trăng</x:v>
      </x:c>
      <x:c r="H45" s="24" t="str">
        <x:v>F02</x:v>
      </x:c>
      <x:c r="I45" s="24" t="str">
        <x:v>2-7s</x:v>
      </x:c>
      <x:c r="J45" s="24" t="str">
        <x:v>STANDARD_0-2_2-7_7-9_9-10</x:v>
      </x:c>
      <x:c r="K45" s="24" t="str">
        <x:v>CAUSAL_ACTION</x:v>
      </x:c>
      <x:c r="L45" s="24" t="str">
        <x:v>P08-S10-MEO-PRIMARY.REFERENCE.png|P08-S10-MEO-SECONDARY.REFERENCE.png|P08-S10-BO-FRONT.REFERENCE.jpg|P08-S10-BO-SIDE.REFERENCE.jpg</x:v>
      </x:c>
      <x:c r="M45" s="24" t="str">
        <x:v>P08-S10-I010-S1-07A-F02</x:v>
      </x:c>
      <x:c r="N45" s="25" t="str">
        <x:v>PASS</x:v>
      </x:c>
    </x:row>
    <x:row r="46" ht="78" customHeight="1">
      <x:c r="A46" s="57" t="n">
        <x:v>45</x:v>
      </x:c>
      <x:c r="B46" s="24" t="str">
        <x:v>P08-S10-I010-S1-07A-F03</x:v>
      </x:c>
      <x:c r="C46" s="24" t="str">
        <x:v>STORYBOARD</x:v>
      </x:c>
      <x:c r="D46" s="24" t="str">
        <x:v>I010-S1-07A</x:v>
      </x:c>
      <x:c r="E46" s="24" t="str">
        <x:v>7</x:v>
      </x:c>
      <x:c r="F46" s="24" t="str">
        <x:v>A</x:v>
      </x:c>
      <x:c r="G46" s="24" t="str">
        <x:v>Lăng kính mặt trăng</x:v>
      </x:c>
      <x:c r="H46" s="24" t="str">
        <x:v>F03</x:v>
      </x:c>
      <x:c r="I46" s="24" t="str">
        <x:v>7-10s</x:v>
      </x:c>
      <x:c r="J46" s="24" t="str">
        <x:v>STANDARD_0-2_2-7_7-9_9-10</x:v>
      </x:c>
      <x:c r="K46" s="24" t="str">
        <x:v>CLOSING_STATE</x:v>
      </x:c>
      <x:c r="L46" s="24" t="str">
        <x:v>P08-S10-MEO-PRIMARY.REFERENCE.png|P08-S10-MEO-SECONDARY.REFERENCE.png|P08-S10-BO-FRONT.REFERENCE.jpg|P08-S10-BO-SIDE.REFERENCE.jpg</x:v>
      </x:c>
      <x:c r="M46" s="24" t="str">
        <x:v>P08-S10-I010-S1-07A-F03</x:v>
      </x:c>
      <x:c r="N46" s="25" t="str">
        <x:v>PASS</x:v>
      </x:c>
    </x:row>
    <x:row r="47" ht="78" customHeight="1">
      <x:c r="A47" s="57" t="n">
        <x:v>46</x:v>
      </x:c>
      <x:c r="B47" s="24" t="str">
        <x:v>P08-S10-I010-S1-07B-F01</x:v>
      </x:c>
      <x:c r="C47" s="24" t="str">
        <x:v>STORYBOARD</x:v>
      </x:c>
      <x:c r="D47" s="24" t="str">
        <x:v>I010-S1-07B</x:v>
      </x:c>
      <x:c r="E47" s="24" t="str">
        <x:v>7</x:v>
      </x:c>
      <x:c r="F47" s="24" t="str">
        <x:v>B</x:v>
      </x:c>
      <x:c r="G47" s="24" t="str">
        <x:v>Lăng kính mặt trăng</x:v>
      </x:c>
      <x:c r="H47" s="24" t="str">
        <x:v>F01</x:v>
      </x:c>
      <x:c r="I47" s="24" t="str">
        <x:v>0-2s</x:v>
      </x:c>
      <x:c r="J47" s="24" t="str">
        <x:v>STANDARD_0-2_2-7_7-9_9-10</x:v>
      </x:c>
      <x:c r="K47" s="24" t="str">
        <x:v>OPENING</x:v>
      </x:c>
      <x:c r="L47" s="24" t="str">
        <x:v>P08-S10-MEO-PRIMARY.REFERENCE.png|P08-S10-MEO-SECONDARY.REFERENCE.png|P08-S10-BO-FRONT.REFERENCE.jpg|P08-S10-BO-SIDE.REFERENCE.jpg</x:v>
      </x:c>
      <x:c r="M47" s="24" t="str">
        <x:v>P08-S10-I010-S1-07B-F01</x:v>
      </x:c>
      <x:c r="N47" s="25" t="str">
        <x:v>PASS</x:v>
      </x:c>
    </x:row>
    <x:row r="48" ht="78" customHeight="1">
      <x:c r="A48" s="57" t="n">
        <x:v>47</x:v>
      </x:c>
      <x:c r="B48" s="24" t="str">
        <x:v>P08-S10-I010-S1-07B-F02</x:v>
      </x:c>
      <x:c r="C48" s="24" t="str">
        <x:v>STORYBOARD</x:v>
      </x:c>
      <x:c r="D48" s="24" t="str">
        <x:v>I010-S1-07B</x:v>
      </x:c>
      <x:c r="E48" s="24" t="str">
        <x:v>7</x:v>
      </x:c>
      <x:c r="F48" s="24" t="str">
        <x:v>B</x:v>
      </x:c>
      <x:c r="G48" s="24" t="str">
        <x:v>Lăng kính mặt trăng</x:v>
      </x:c>
      <x:c r="H48" s="24" t="str">
        <x:v>F02</x:v>
      </x:c>
      <x:c r="I48" s="24" t="str">
        <x:v>2-7s</x:v>
      </x:c>
      <x:c r="J48" s="24" t="str">
        <x:v>STANDARD_0-2_2-7_7-9_9-10</x:v>
      </x:c>
      <x:c r="K48" s="24" t="str">
        <x:v>CAUSAL_ACTION</x:v>
      </x:c>
      <x:c r="L48" s="24" t="str">
        <x:v>P08-S10-MEO-PRIMARY.REFERENCE.png|P08-S10-MEO-SECONDARY.REFERENCE.png|P08-S10-BO-FRONT.REFERENCE.jpg|P08-S10-BO-SIDE.REFERENCE.jpg</x:v>
      </x:c>
      <x:c r="M48" s="24" t="str">
        <x:v>P08-S10-I010-S1-07B-F02</x:v>
      </x:c>
      <x:c r="N48" s="25" t="str">
        <x:v>PASS</x:v>
      </x:c>
    </x:row>
    <x:row r="49" ht="78" customHeight="1">
      <x:c r="A49" s="57" t="n">
        <x:v>48</x:v>
      </x:c>
      <x:c r="B49" s="24" t="str">
        <x:v>P08-S10-I010-S1-07B-F03</x:v>
      </x:c>
      <x:c r="C49" s="24" t="str">
        <x:v>STORYBOARD</x:v>
      </x:c>
      <x:c r="D49" s="24" t="str">
        <x:v>I010-S1-07B</x:v>
      </x:c>
      <x:c r="E49" s="24" t="str">
        <x:v>7</x:v>
      </x:c>
      <x:c r="F49" s="24" t="str">
        <x:v>B</x:v>
      </x:c>
      <x:c r="G49" s="24" t="str">
        <x:v>Lăng kính mặt trăng</x:v>
      </x:c>
      <x:c r="H49" s="24" t="str">
        <x:v>F03</x:v>
      </x:c>
      <x:c r="I49" s="24" t="str">
        <x:v>7-10s</x:v>
      </x:c>
      <x:c r="J49" s="24" t="str">
        <x:v>STANDARD_0-2_2-7_7-9_9-10</x:v>
      </x:c>
      <x:c r="K49" s="24" t="str">
        <x:v>CLOSING_STATE</x:v>
      </x:c>
      <x:c r="L49" s="24" t="str">
        <x:v>P08-S10-MEO-PRIMARY.REFERENCE.png|P08-S10-MEO-SECONDARY.REFERENCE.png|P08-S10-BO-FRONT.REFERENCE.jpg|P08-S10-BO-SIDE.REFERENCE.jpg</x:v>
      </x:c>
      <x:c r="M49" s="24" t="str">
        <x:v>P08-S10-I010-S1-07B-F03</x:v>
      </x:c>
      <x:c r="N49" s="25" t="str">
        <x:v>PASS</x:v>
      </x:c>
    </x:row>
    <x:row r="50" ht="78" customHeight="1">
      <x:c r="A50" s="57" t="n">
        <x:v>49</x:v>
      </x:c>
      <x:c r="B50" s="24" t="str">
        <x:v>P08-S10-I010-S1-08A-F01</x:v>
      </x:c>
      <x:c r="C50" s="24" t="str">
        <x:v>STORYBOARD</x:v>
      </x:c>
      <x:c r="D50" s="24" t="str">
        <x:v>I010-S1-08A</x:v>
      </x:c>
      <x:c r="E50" s="24" t="str">
        <x:v>8</x:v>
      </x:c>
      <x:c r="F50" s="24" t="str">
        <x:v>A</x:v>
      </x:c>
      <x:c r="G50" s="24" t="str">
        <x:v>Lưới bắt sao</x:v>
      </x:c>
      <x:c r="H50" s="24" t="str">
        <x:v>F01</x:v>
      </x:c>
      <x:c r="I50" s="24" t="str">
        <x:v>0-2s</x:v>
      </x:c>
      <x:c r="J50" s="24" t="str">
        <x:v>STANDARD_0-2_2-7_7-9_9-10</x:v>
      </x:c>
      <x:c r="K50" s="24" t="str">
        <x:v>OPENING</x:v>
      </x:c>
      <x:c r="L50" s="24" t="str">
        <x:v>P08-S10-MEO-PRIMARY.REFERENCE.png|P08-S10-MEO-SECONDARY.REFERENCE.png|P08-S10-BO-FRONT.REFERENCE.jpg|P08-S10-BO-SIDE.REFERENCE.jpg</x:v>
      </x:c>
      <x:c r="M50" s="24" t="str">
        <x:v>P08-S10-I010-S1-08A-F01</x:v>
      </x:c>
      <x:c r="N50" s="25" t="str">
        <x:v>PASS</x:v>
      </x:c>
    </x:row>
    <x:row r="51" ht="78" customHeight="1">
      <x:c r="A51" s="57" t="n">
        <x:v>50</x:v>
      </x:c>
      <x:c r="B51" s="24" t="str">
        <x:v>P08-S10-I010-S1-08A-F02</x:v>
      </x:c>
      <x:c r="C51" s="24" t="str">
        <x:v>STORYBOARD</x:v>
      </x:c>
      <x:c r="D51" s="24" t="str">
        <x:v>I010-S1-08A</x:v>
      </x:c>
      <x:c r="E51" s="24" t="str">
        <x:v>8</x:v>
      </x:c>
      <x:c r="F51" s="24" t="str">
        <x:v>A</x:v>
      </x:c>
      <x:c r="G51" s="24" t="str">
        <x:v>Lưới bắt sao</x:v>
      </x:c>
      <x:c r="H51" s="24" t="str">
        <x:v>F02</x:v>
      </x:c>
      <x:c r="I51" s="24" t="str">
        <x:v>2-7s</x:v>
      </x:c>
      <x:c r="J51" s="24" t="str">
        <x:v>STANDARD_0-2_2-7_7-9_9-10</x:v>
      </x:c>
      <x:c r="K51" s="24" t="str">
        <x:v>CAUSAL_ACTION</x:v>
      </x:c>
      <x:c r="L51" s="24" t="str">
        <x:v>P08-S10-MEO-PRIMARY.REFERENCE.png|P08-S10-MEO-SECONDARY.REFERENCE.png|P08-S10-BO-FRONT.REFERENCE.jpg|P08-S10-BO-SIDE.REFERENCE.jpg</x:v>
      </x:c>
      <x:c r="M51" s="24" t="str">
        <x:v>P08-S10-I010-S1-08A-F02</x:v>
      </x:c>
      <x:c r="N51" s="25" t="str">
        <x:v>PASS</x:v>
      </x:c>
    </x:row>
    <x:row r="52" ht="78" customHeight="1">
      <x:c r="A52" s="57" t="n">
        <x:v>51</x:v>
      </x:c>
      <x:c r="B52" s="24" t="str">
        <x:v>P08-S10-I010-S1-08A-F03</x:v>
      </x:c>
      <x:c r="C52" s="24" t="str">
        <x:v>STORYBOARD</x:v>
      </x:c>
      <x:c r="D52" s="24" t="str">
        <x:v>I010-S1-08A</x:v>
      </x:c>
      <x:c r="E52" s="24" t="str">
        <x:v>8</x:v>
      </x:c>
      <x:c r="F52" s="24" t="str">
        <x:v>A</x:v>
      </x:c>
      <x:c r="G52" s="24" t="str">
        <x:v>Lưới bắt sao</x:v>
      </x:c>
      <x:c r="H52" s="24" t="str">
        <x:v>F03</x:v>
      </x:c>
      <x:c r="I52" s="24" t="str">
        <x:v>7-10s</x:v>
      </x:c>
      <x:c r="J52" s="24" t="str">
        <x:v>STANDARD_0-2_2-7_7-9_9-10</x:v>
      </x:c>
      <x:c r="K52" s="24" t="str">
        <x:v>CLOSING_STATE</x:v>
      </x:c>
      <x:c r="L52" s="24" t="str">
        <x:v>P08-S10-MEO-PRIMARY.REFERENCE.png|P08-S10-MEO-SECONDARY.REFERENCE.png|P08-S10-BO-FRONT.REFERENCE.jpg|P08-S10-BO-SIDE.REFERENCE.jpg</x:v>
      </x:c>
      <x:c r="M52" s="24" t="str">
        <x:v>P08-S10-I010-S1-08A-F03</x:v>
      </x:c>
      <x:c r="N52" s="25" t="str">
        <x:v>PASS</x:v>
      </x:c>
    </x:row>
    <x:row r="53" ht="78" customHeight="1">
      <x:c r="A53" s="57" t="n">
        <x:v>52</x:v>
      </x:c>
      <x:c r="B53" s="24" t="str">
        <x:v>P08-S10-I010-S1-08B-F01</x:v>
      </x:c>
      <x:c r="C53" s="24" t="str">
        <x:v>STORYBOARD</x:v>
      </x:c>
      <x:c r="D53" s="24" t="str">
        <x:v>I010-S1-08B</x:v>
      </x:c>
      <x:c r="E53" s="24" t="str">
        <x:v>8</x:v>
      </x:c>
      <x:c r="F53" s="24" t="str">
        <x:v>B</x:v>
      </x:c>
      <x:c r="G53" s="24" t="str">
        <x:v>Lưới bắt sao</x:v>
      </x:c>
      <x:c r="H53" s="24" t="str">
        <x:v>F01</x:v>
      </x:c>
      <x:c r="I53" s="24" t="str">
        <x:v>0-2s</x:v>
      </x:c>
      <x:c r="J53" s="24" t="str">
        <x:v>STANDARD_0-2_2-7_7-9_9-10</x:v>
      </x:c>
      <x:c r="K53" s="24" t="str">
        <x:v>OPENING</x:v>
      </x:c>
      <x:c r="L53" s="24" t="str">
        <x:v>P08-S10-MEO-PRIMARY.REFERENCE.png|P08-S10-MEO-SECONDARY.REFERENCE.png|P08-S10-BO-FRONT.REFERENCE.jpg|P08-S10-BO-SIDE.REFERENCE.jpg</x:v>
      </x:c>
      <x:c r="M53" s="24" t="str">
        <x:v>P08-S10-I010-S1-08B-F01</x:v>
      </x:c>
      <x:c r="N53" s="25" t="str">
        <x:v>PASS</x:v>
      </x:c>
    </x:row>
    <x:row r="54" ht="78" customHeight="1">
      <x:c r="A54" s="57" t="n">
        <x:v>53</x:v>
      </x:c>
      <x:c r="B54" s="24" t="str">
        <x:v>P08-S10-I010-S1-08B-F02</x:v>
      </x:c>
      <x:c r="C54" s="24" t="str">
        <x:v>STORYBOARD</x:v>
      </x:c>
      <x:c r="D54" s="24" t="str">
        <x:v>I010-S1-08B</x:v>
      </x:c>
      <x:c r="E54" s="24" t="str">
        <x:v>8</x:v>
      </x:c>
      <x:c r="F54" s="24" t="str">
        <x:v>B</x:v>
      </x:c>
      <x:c r="G54" s="24" t="str">
        <x:v>Lưới bắt sao</x:v>
      </x:c>
      <x:c r="H54" s="24" t="str">
        <x:v>F02</x:v>
      </x:c>
      <x:c r="I54" s="24" t="str">
        <x:v>2-7s</x:v>
      </x:c>
      <x:c r="J54" s="24" t="str">
        <x:v>STANDARD_0-2_2-7_7-9_9-10</x:v>
      </x:c>
      <x:c r="K54" s="24" t="str">
        <x:v>CAUSAL_ACTION</x:v>
      </x:c>
      <x:c r="L54" s="24" t="str">
        <x:v>P08-S10-MEO-PRIMARY.REFERENCE.png|P08-S10-MEO-SECONDARY.REFERENCE.png|P08-S10-BO-FRONT.REFERENCE.jpg|P08-S10-BO-SIDE.REFERENCE.jpg</x:v>
      </x:c>
      <x:c r="M54" s="24" t="str">
        <x:v>P08-S10-I010-S1-08B-F02</x:v>
      </x:c>
      <x:c r="N54" s="25" t="str">
        <x:v>PASS</x:v>
      </x:c>
    </x:row>
    <x:row r="55" ht="78" customHeight="1">
      <x:c r="A55" s="57" t="n">
        <x:v>54</x:v>
      </x:c>
      <x:c r="B55" s="24" t="str">
        <x:v>P08-S10-I010-S1-08B-F03</x:v>
      </x:c>
      <x:c r="C55" s="24" t="str">
        <x:v>STORYBOARD</x:v>
      </x:c>
      <x:c r="D55" s="24" t="str">
        <x:v>I010-S1-08B</x:v>
      </x:c>
      <x:c r="E55" s="24" t="str">
        <x:v>8</x:v>
      </x:c>
      <x:c r="F55" s="24" t="str">
        <x:v>B</x:v>
      </x:c>
      <x:c r="G55" s="24" t="str">
        <x:v>Lưới bắt sao</x:v>
      </x:c>
      <x:c r="H55" s="24" t="str">
        <x:v>F03</x:v>
      </x:c>
      <x:c r="I55" s="24" t="str">
        <x:v>7-10s</x:v>
      </x:c>
      <x:c r="J55" s="24" t="str">
        <x:v>STANDARD_0-2_2-7_7-9_9-10</x:v>
      </x:c>
      <x:c r="K55" s="24" t="str">
        <x:v>CLOSING_STATE</x:v>
      </x:c>
      <x:c r="L55" s="24" t="str">
        <x:v>P08-S10-MEO-PRIMARY.REFERENCE.png|P08-S10-MEO-SECONDARY.REFERENCE.png|P08-S10-BO-FRONT.REFERENCE.jpg|P08-S10-BO-SIDE.REFERENCE.jpg</x:v>
      </x:c>
      <x:c r="M55" s="24" t="str">
        <x:v>P08-S10-I010-S1-08B-F03</x:v>
      </x:c>
      <x:c r="N55" s="25" t="str">
        <x:v>PASS</x:v>
      </x:c>
    </x:row>
    <x:row r="56" ht="78" customHeight="1">
      <x:c r="A56" s="57" t="n">
        <x:v>55</x:v>
      </x:c>
      <x:c r="B56" s="24" t="str">
        <x:v>P08-S10-I010-S1-09A-F01</x:v>
      </x:c>
      <x:c r="C56" s="24" t="str">
        <x:v>STORYBOARD</x:v>
      </x:c>
      <x:c r="D56" s="24" t="str">
        <x:v>I010-S1-09A</x:v>
      </x:c>
      <x:c r="E56" s="24" t="str">
        <x:v>9</x:v>
      </x:c>
      <x:c r="F56" s="24" t="str">
        <x:v>A</x:v>
      </x:c>
      <x:c r="G56" s="24" t="str">
        <x:v>Hai màu gặp nhau</x:v>
      </x:c>
      <x:c r="H56" s="24" t="str">
        <x:v>F01</x:v>
      </x:c>
      <x:c r="I56" s="24" t="str">
        <x:v>0-2s</x:v>
      </x:c>
      <x:c r="J56" s="24" t="str">
        <x:v>STANDARD_0-2_2-7_7-9_9-10</x:v>
      </x:c>
      <x:c r="K56" s="24" t="str">
        <x:v>OPENING</x:v>
      </x:c>
      <x:c r="L56" s="24" t="str">
        <x:v>P08-S10-MEO-PRIMARY.REFERENCE.png|P08-S10-MEO-SECONDARY.REFERENCE.png|P08-S10-BO-FRONT.REFERENCE.jpg|P08-S10-BO-SIDE.REFERENCE.jpg</x:v>
      </x:c>
      <x:c r="M56" s="24" t="str">
        <x:v>P08-S10-I010-S1-09A-F01</x:v>
      </x:c>
      <x:c r="N56" s="25" t="str">
        <x:v>PASS</x:v>
      </x:c>
    </x:row>
    <x:row r="57" ht="78" customHeight="1">
      <x:c r="A57" s="57" t="n">
        <x:v>56</x:v>
      </x:c>
      <x:c r="B57" s="24" t="str">
        <x:v>P08-S10-I010-S1-09A-F02</x:v>
      </x:c>
      <x:c r="C57" s="24" t="str">
        <x:v>STORYBOARD</x:v>
      </x:c>
      <x:c r="D57" s="24" t="str">
        <x:v>I010-S1-09A</x:v>
      </x:c>
      <x:c r="E57" s="24" t="str">
        <x:v>9</x:v>
      </x:c>
      <x:c r="F57" s="24" t="str">
        <x:v>A</x:v>
      </x:c>
      <x:c r="G57" s="24" t="str">
        <x:v>Hai màu gặp nhau</x:v>
      </x:c>
      <x:c r="H57" s="24" t="str">
        <x:v>F02</x:v>
      </x:c>
      <x:c r="I57" s="24" t="str">
        <x:v>2-7s</x:v>
      </x:c>
      <x:c r="J57" s="24" t="str">
        <x:v>STANDARD_0-2_2-7_7-9_9-10</x:v>
      </x:c>
      <x:c r="K57" s="24" t="str">
        <x:v>CAUSAL_ACTION</x:v>
      </x:c>
      <x:c r="L57" s="24" t="str">
        <x:v>P08-S10-MEO-PRIMARY.REFERENCE.png|P08-S10-MEO-SECONDARY.REFERENCE.png|P08-S10-BO-FRONT.REFERENCE.jpg|P08-S10-BO-SIDE.REFERENCE.jpg</x:v>
      </x:c>
      <x:c r="M57" s="24" t="str">
        <x:v>P08-S10-I010-S1-09A-F02</x:v>
      </x:c>
      <x:c r="N57" s="25" t="str">
        <x:v>PASS</x:v>
      </x:c>
    </x:row>
    <x:row r="58" ht="78" customHeight="1">
      <x:c r="A58" s="57" t="n">
        <x:v>57</x:v>
      </x:c>
      <x:c r="B58" s="24" t="str">
        <x:v>P08-S10-I010-S1-09A-F03</x:v>
      </x:c>
      <x:c r="C58" s="24" t="str">
        <x:v>STORYBOARD</x:v>
      </x:c>
      <x:c r="D58" s="24" t="str">
        <x:v>I010-S1-09A</x:v>
      </x:c>
      <x:c r="E58" s="24" t="str">
        <x:v>9</x:v>
      </x:c>
      <x:c r="F58" s="24" t="str">
        <x:v>A</x:v>
      </x:c>
      <x:c r="G58" s="24" t="str">
        <x:v>Hai màu gặp nhau</x:v>
      </x:c>
      <x:c r="H58" s="24" t="str">
        <x:v>F03</x:v>
      </x:c>
      <x:c r="I58" s="24" t="str">
        <x:v>7-10s</x:v>
      </x:c>
      <x:c r="J58" s="24" t="str">
        <x:v>STANDARD_0-2_2-7_7-9_9-10</x:v>
      </x:c>
      <x:c r="K58" s="24" t="str">
        <x:v>CLOSING_STATE</x:v>
      </x:c>
      <x:c r="L58" s="24" t="str">
        <x:v>P08-S10-MEO-PRIMARY.REFERENCE.png|P08-S10-MEO-SECONDARY.REFERENCE.png|P08-S10-BO-FRONT.REFERENCE.jpg|P08-S10-BO-SIDE.REFERENCE.jpg</x:v>
      </x:c>
      <x:c r="M58" s="24" t="str">
        <x:v>P08-S10-I010-S1-09A-F03</x:v>
      </x:c>
      <x:c r="N58" s="25" t="str">
        <x:v>PASS</x:v>
      </x:c>
    </x:row>
    <x:row r="59" ht="78" customHeight="1">
      <x:c r="A59" s="57" t="n">
        <x:v>58</x:v>
      </x:c>
      <x:c r="B59" s="24" t="str">
        <x:v>P08-S10-I010-S1-09B-F01</x:v>
      </x:c>
      <x:c r="C59" s="24" t="str">
        <x:v>STORYBOARD</x:v>
      </x:c>
      <x:c r="D59" s="24" t="str">
        <x:v>I010-S1-09B</x:v>
      </x:c>
      <x:c r="E59" s="24" t="str">
        <x:v>9</x:v>
      </x:c>
      <x:c r="F59" s="24" t="str">
        <x:v>B</x:v>
      </x:c>
      <x:c r="G59" s="24" t="str">
        <x:v>Hai màu gặp nhau</x:v>
      </x:c>
      <x:c r="H59" s="24" t="str">
        <x:v>F01</x:v>
      </x:c>
      <x:c r="I59" s="24" t="str">
        <x:v>0-2s</x:v>
      </x:c>
      <x:c r="J59" s="24" t="str">
        <x:v>STANDARD_0-2_2-7_7-9_9-10</x:v>
      </x:c>
      <x:c r="K59" s="24" t="str">
        <x:v>OPENING</x:v>
      </x:c>
      <x:c r="L59" s="24" t="str">
        <x:v>P08-S10-MEO-PRIMARY.REFERENCE.png|P08-S10-MEO-SECONDARY.REFERENCE.png|P08-S10-BO-FRONT.REFERENCE.jpg|P08-S10-BO-SIDE.REFERENCE.jpg</x:v>
      </x:c>
      <x:c r="M59" s="24" t="str">
        <x:v>P08-S10-I010-S1-09B-F01</x:v>
      </x:c>
      <x:c r="N59" s="25" t="str">
        <x:v>PASS</x:v>
      </x:c>
    </x:row>
    <x:row r="60" ht="78" customHeight="1">
      <x:c r="A60" s="57" t="n">
        <x:v>59</x:v>
      </x:c>
      <x:c r="B60" s="24" t="str">
        <x:v>P08-S10-I010-S1-09B-F02</x:v>
      </x:c>
      <x:c r="C60" s="24" t="str">
        <x:v>STORYBOARD</x:v>
      </x:c>
      <x:c r="D60" s="24" t="str">
        <x:v>I010-S1-09B</x:v>
      </x:c>
      <x:c r="E60" s="24" t="str">
        <x:v>9</x:v>
      </x:c>
      <x:c r="F60" s="24" t="str">
        <x:v>B</x:v>
      </x:c>
      <x:c r="G60" s="24" t="str">
        <x:v>Hai màu gặp nhau</x:v>
      </x:c>
      <x:c r="H60" s="24" t="str">
        <x:v>F02</x:v>
      </x:c>
      <x:c r="I60" s="24" t="str">
        <x:v>2-7s</x:v>
      </x:c>
      <x:c r="J60" s="24" t="str">
        <x:v>STANDARD_0-2_2-7_7-9_9-10</x:v>
      </x:c>
      <x:c r="K60" s="24" t="str">
        <x:v>CAUSAL_ACTION</x:v>
      </x:c>
      <x:c r="L60" s="24" t="str">
        <x:v>P08-S10-MEO-PRIMARY.REFERENCE.png|P08-S10-MEO-SECONDARY.REFERENCE.png|P08-S10-BO-FRONT.REFERENCE.jpg|P08-S10-BO-SIDE.REFERENCE.jpg</x:v>
      </x:c>
      <x:c r="M60" s="24" t="str">
        <x:v>P08-S10-I010-S1-09B-F02</x:v>
      </x:c>
      <x:c r="N60" s="25" t="str">
        <x:v>PASS</x:v>
      </x:c>
    </x:row>
    <x:row r="61" ht="78" customHeight="1">
      <x:c r="A61" s="57" t="n">
        <x:v>60</x:v>
      </x:c>
      <x:c r="B61" s="24" t="str">
        <x:v>P08-S10-I010-S1-09B-F03</x:v>
      </x:c>
      <x:c r="C61" s="24" t="str">
        <x:v>STORYBOARD</x:v>
      </x:c>
      <x:c r="D61" s="24" t="str">
        <x:v>I010-S1-09B</x:v>
      </x:c>
      <x:c r="E61" s="24" t="str">
        <x:v>9</x:v>
      </x:c>
      <x:c r="F61" s="24" t="str">
        <x:v>B</x:v>
      </x:c>
      <x:c r="G61" s="24" t="str">
        <x:v>Hai màu gặp nhau</x:v>
      </x:c>
      <x:c r="H61" s="24" t="str">
        <x:v>F03</x:v>
      </x:c>
      <x:c r="I61" s="24" t="str">
        <x:v>7-10s</x:v>
      </x:c>
      <x:c r="J61" s="24" t="str">
        <x:v>STANDARD_0-2_2-7_7-9_9-10</x:v>
      </x:c>
      <x:c r="K61" s="24" t="str">
        <x:v>CLOSING_STATE</x:v>
      </x:c>
      <x:c r="L61" s="24" t="str">
        <x:v>P08-S10-MEO-PRIMARY.REFERENCE.png|P08-S10-MEO-SECONDARY.REFERENCE.png|P08-S10-BO-FRONT.REFERENCE.jpg|P08-S10-BO-SIDE.REFERENCE.jpg</x:v>
      </x:c>
      <x:c r="M61" s="24" t="str">
        <x:v>P08-S10-I010-S1-09B-F03</x:v>
      </x:c>
      <x:c r="N61" s="25" t="str">
        <x:v>PASS</x:v>
      </x:c>
    </x:row>
    <x:row r="62" ht="78" customHeight="1">
      <x:c r="A62" s="57" t="n">
        <x:v>61</x:v>
      </x:c>
      <x:c r="B62" s="24" t="str">
        <x:v>P08-S10-I010-S1-10A-F01</x:v>
      </x:c>
      <x:c r="C62" s="24" t="str">
        <x:v>STORYBOARD</x:v>
      </x:c>
      <x:c r="D62" s="24" t="str">
        <x:v>I010-S1-10A</x:v>
      </x:c>
      <x:c r="E62" s="24" t="str">
        <x:v>10</x:v>
      </x:c>
      <x:c r="F62" s="24" t="str">
        <x:v>A</x:v>
      </x:c>
      <x:c r="G62" s="24" t="str">
        <x:v>Khoảng trống dành cho mặt trăng</x:v>
      </x:c>
      <x:c r="H62" s="24" t="str">
        <x:v>F01</x:v>
      </x:c>
      <x:c r="I62" s="24" t="str">
        <x:v>0-2s</x:v>
      </x:c>
      <x:c r="J62" s="24" t="str">
        <x:v>STANDARD_0-2_2-7_7-9_9-10</x:v>
      </x:c>
      <x:c r="K62" s="24" t="str">
        <x:v>OPENING</x:v>
      </x:c>
      <x:c r="L62" s="24" t="str">
        <x:v>P08-S10-MEO-PRIMARY.REFERENCE.png|P08-S10-MEO-SECONDARY.REFERENCE.png|P08-S10-BO-FRONT.REFERENCE.jpg|P08-S10-BO-SIDE.REFERENCE.jpg</x:v>
      </x:c>
      <x:c r="M62" s="24" t="str">
        <x:v>P08-S10-I010-S1-10A-F01</x:v>
      </x:c>
      <x:c r="N62" s="25" t="str">
        <x:v>PASS</x:v>
      </x:c>
    </x:row>
    <x:row r="63" ht="78" customHeight="1">
      <x:c r="A63" s="57" t="n">
        <x:v>62</x:v>
      </x:c>
      <x:c r="B63" s="24" t="str">
        <x:v>P08-S10-I010-S1-10A-F02</x:v>
      </x:c>
      <x:c r="C63" s="24" t="str">
        <x:v>STORYBOARD</x:v>
      </x:c>
      <x:c r="D63" s="24" t="str">
        <x:v>I010-S1-10A</x:v>
      </x:c>
      <x:c r="E63" s="24" t="str">
        <x:v>10</x:v>
      </x:c>
      <x:c r="F63" s="24" t="str">
        <x:v>A</x:v>
      </x:c>
      <x:c r="G63" s="24" t="str">
        <x:v>Khoảng trống dành cho mặt trăng</x:v>
      </x:c>
      <x:c r="H63" s="24" t="str">
        <x:v>F02</x:v>
      </x:c>
      <x:c r="I63" s="24" t="str">
        <x:v>2-7s</x:v>
      </x:c>
      <x:c r="J63" s="24" t="str">
        <x:v>STANDARD_0-2_2-7_7-9_9-10</x:v>
      </x:c>
      <x:c r="K63" s="24" t="str">
        <x:v>CAUSAL_ACTION</x:v>
      </x:c>
      <x:c r="L63" s="24" t="str">
        <x:v>P08-S10-MEO-PRIMARY.REFERENCE.png|P08-S10-MEO-SECONDARY.REFERENCE.png|P08-S10-BO-FRONT.REFERENCE.jpg|P08-S10-BO-SIDE.REFERENCE.jpg</x:v>
      </x:c>
      <x:c r="M63" s="24" t="str">
        <x:v>P08-S10-I010-S1-10A-F02</x:v>
      </x:c>
      <x:c r="N63" s="25" t="str">
        <x:v>PASS</x:v>
      </x:c>
    </x:row>
    <x:row r="64" ht="78" customHeight="1">
      <x:c r="A64" s="57" t="n">
        <x:v>63</x:v>
      </x:c>
      <x:c r="B64" s="24" t="str">
        <x:v>P08-S10-I010-S1-10A-F03</x:v>
      </x:c>
      <x:c r="C64" s="24" t="str">
        <x:v>STORYBOARD</x:v>
      </x:c>
      <x:c r="D64" s="24" t="str">
        <x:v>I010-S1-10A</x:v>
      </x:c>
      <x:c r="E64" s="24" t="str">
        <x:v>10</x:v>
      </x:c>
      <x:c r="F64" s="24" t="str">
        <x:v>A</x:v>
      </x:c>
      <x:c r="G64" s="24" t="str">
        <x:v>Khoảng trống dành cho mặt trăng</x:v>
      </x:c>
      <x:c r="H64" s="24" t="str">
        <x:v>F03</x:v>
      </x:c>
      <x:c r="I64" s="24" t="str">
        <x:v>7-10s</x:v>
      </x:c>
      <x:c r="J64" s="24" t="str">
        <x:v>STANDARD_0-2_2-7_7-9_9-10</x:v>
      </x:c>
      <x:c r="K64" s="24" t="str">
        <x:v>CLOSING_STATE</x:v>
      </x:c>
      <x:c r="L64" s="24" t="str">
        <x:v>P08-S10-MEO-PRIMARY.REFERENCE.png|P08-S10-MEO-SECONDARY.REFERENCE.png|P08-S10-BO-FRONT.REFERENCE.jpg|P08-S10-BO-SIDE.REFERENCE.jpg</x:v>
      </x:c>
      <x:c r="M64" s="24" t="str">
        <x:v>P08-S10-I010-S1-10A-F03</x:v>
      </x:c>
      <x:c r="N64" s="25" t="str">
        <x:v>PASS</x:v>
      </x:c>
    </x:row>
    <x:row r="65" ht="78" customHeight="1">
      <x:c r="A65" s="57" t="n">
        <x:v>64</x:v>
      </x:c>
      <x:c r="B65" s="24" t="str">
        <x:v>P08-S10-I010-S1-10B-F01</x:v>
      </x:c>
      <x:c r="C65" s="24" t="str">
        <x:v>STORYBOARD</x:v>
      </x:c>
      <x:c r="D65" s="24" t="str">
        <x:v>I010-S1-10B</x:v>
      </x:c>
      <x:c r="E65" s="24" t="str">
        <x:v>10</x:v>
      </x:c>
      <x:c r="F65" s="24" t="str">
        <x:v>B</x:v>
      </x:c>
      <x:c r="G65" s="24" t="str">
        <x:v>Khoảng trống dành cho mặt trăng</x:v>
      </x:c>
      <x:c r="H65" s="24" t="str">
        <x:v>F01</x:v>
      </x:c>
      <x:c r="I65" s="24" t="str">
        <x:v>0-2s</x:v>
      </x:c>
      <x:c r="J65" s="24" t="str">
        <x:v>STANDARD_0-2_2-7_7-9_9-10</x:v>
      </x:c>
      <x:c r="K65" s="24" t="str">
        <x:v>OPENING</x:v>
      </x:c>
      <x:c r="L65" s="24" t="str">
        <x:v>P08-S10-MEO-PRIMARY.REFERENCE.png|P08-S10-MEO-SECONDARY.REFERENCE.png|P08-S10-BO-FRONT.REFERENCE.jpg|P08-S10-BO-SIDE.REFERENCE.jpg</x:v>
      </x:c>
      <x:c r="M65" s="24" t="str">
        <x:v>P08-S10-I010-S1-10B-F01</x:v>
      </x:c>
      <x:c r="N65" s="25" t="str">
        <x:v>PASS</x:v>
      </x:c>
    </x:row>
    <x:row r="66" ht="78" customHeight="1">
      <x:c r="A66" s="57" t="n">
        <x:v>65</x:v>
      </x:c>
      <x:c r="B66" s="24" t="str">
        <x:v>P08-S10-I010-S1-10B-F02</x:v>
      </x:c>
      <x:c r="C66" s="24" t="str">
        <x:v>STORYBOARD</x:v>
      </x:c>
      <x:c r="D66" s="24" t="str">
        <x:v>I010-S1-10B</x:v>
      </x:c>
      <x:c r="E66" s="24" t="str">
        <x:v>10</x:v>
      </x:c>
      <x:c r="F66" s="24" t="str">
        <x:v>B</x:v>
      </x:c>
      <x:c r="G66" s="24" t="str">
        <x:v>Khoảng trống dành cho mặt trăng</x:v>
      </x:c>
      <x:c r="H66" s="24" t="str">
        <x:v>F02</x:v>
      </x:c>
      <x:c r="I66" s="24" t="str">
        <x:v>2-7s</x:v>
      </x:c>
      <x:c r="J66" s="24" t="str">
        <x:v>STANDARD_0-2_2-7_7-9_9-10</x:v>
      </x:c>
      <x:c r="K66" s="24" t="str">
        <x:v>CAUSAL_ACTION</x:v>
      </x:c>
      <x:c r="L66" s="24" t="str">
        <x:v>P08-S10-MEO-PRIMARY.REFERENCE.png|P08-S10-MEO-SECONDARY.REFERENCE.png|P08-S10-BO-FRONT.REFERENCE.jpg|P08-S10-BO-SIDE.REFERENCE.jpg</x:v>
      </x:c>
      <x:c r="M66" s="24" t="str">
        <x:v>P08-S10-I010-S1-10B-F02</x:v>
      </x:c>
      <x:c r="N66" s="25" t="str">
        <x:v>PASS</x:v>
      </x:c>
    </x:row>
    <x:row r="67" ht="78" customHeight="1">
      <x:c r="A67" s="58" t="n">
        <x:v>66</x:v>
      </x:c>
      <x:c r="B67" s="27" t="str">
        <x:v>P08-S10-I010-S1-10B-F03</x:v>
      </x:c>
      <x:c r="C67" s="27" t="str">
        <x:v>STORYBOARD</x:v>
      </x:c>
      <x:c r="D67" s="27" t="str">
        <x:v>I010-S1-10B</x:v>
      </x:c>
      <x:c r="E67" s="27" t="str">
        <x:v>10</x:v>
      </x:c>
      <x:c r="F67" s="27" t="str">
        <x:v>B</x:v>
      </x:c>
      <x:c r="G67" s="27" t="str">
        <x:v>Khoảng trống dành cho mặt trăng</x:v>
      </x:c>
      <x:c r="H67" s="27" t="str">
        <x:v>F03</x:v>
      </x:c>
      <x:c r="I67" s="27" t="str">
        <x:v>7-10s</x:v>
      </x:c>
      <x:c r="J67" s="27" t="str">
        <x:v>STANDARD_0-2_2-7_7-9_9-10</x:v>
      </x:c>
      <x:c r="K67" s="27" t="str">
        <x:v>CLOSING_STATE</x:v>
      </x:c>
      <x:c r="L67" s="27" t="str">
        <x:v>P08-S10-MEO-PRIMARY.REFERENCE.png|P08-S10-MEO-SECONDARY.REFERENCE.png|P08-S10-BO-FRONT.REFERENCE.jpg|P08-S10-BO-SIDE.REFERENCE.jpg</x:v>
      </x:c>
      <x:c r="M67" s="27" t="str">
        <x:v>P08-S10-I010-S1-10B-F03</x:v>
      </x:c>
      <x:c r="N67" s="28" t="str">
        <x:v>PASS</x:v>
      </x:c>
    </x:row>
  </x:sheetData>
  <x:pageMargins left="0.7" right="0.7" top="0.75" bottom="0.75" header="0.3" footer="0.3"/>
  <x:tableParts count="1">
    <x:tablePart xmlns:r="http://schemas.openxmlformats.org/officeDocument/2006/relationships" r:id="R7e4fcdaea2d2442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0" hidden="0" customWidth="1"/>
    <x:col min="2" max="2" width="18" hidden="0" customWidth="1"/>
    <x:col min="3" max="3" width="18" hidden="0" customWidth="1"/>
    <x:col min="4" max="4" width="18" hidden="0" customWidth="1"/>
    <x:col min="5" max="5" width="18" hidden="0" customWidth="1"/>
    <x:col min="6" max="6" width="40" hidden="0" customWidth="1"/>
    <x:col min="7" max="7" width="112" hidden="0" customWidth="1"/>
    <x:col min="8" max="8" width="18" hidden="0" customWidth="1"/>
    <x:col min="9" max="9" width="18" hidden="0" customWidth="1"/>
    <x:col min="10" max="10" width="40" hidden="0" customWidth="1"/>
    <x:col min="11" max="11" width="40" hidden="0" customWidth="1"/>
    <x:col min="12" max="12" width="40" hidden="0" customWidth="1"/>
    <x:col min="13" max="13" width="40" hidden="0" customWidth="1"/>
    <x:col min="14" max="14" width="40" hidden="0" customWidth="1"/>
    <x:col min="15" max="15" width="40" hidden="0" customWidth="1"/>
    <x:col min="16" max="16" width="40" hidden="0" customWidth="1"/>
    <x:col min="17" max="17" width="40"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s>
  <x:sheetData>
    <x:row r="1">
      <x:c r="A1" s="60" t="str">
        <x:v>Video ID</x:v>
      </x:c>
      <x:c r="B1" s="61" t="str">
        <x:v>Idea ID</x:v>
      </x:c>
      <x:c r="C1" s="61" t="str">
        <x:v>Season</x:v>
      </x:c>
      <x:c r="D1" s="61" t="str">
        <x:v>Story #</x:v>
      </x:c>
      <x:c r="E1" s="61" t="str">
        <x:v>Phần</x:v>
      </x:c>
      <x:c r="F1" s="61" t="str">
        <x:v>Tiêu đề story</x:v>
      </x:c>
      <x:c r="G1" s="61" t="str">
        <x:v>Prompt 10s — Copy vào Google Flow (GIỮ TIẾNG ANH)</x:v>
      </x:c>
      <x:c r="H1" s="61" t="str">
        <x:v>Mục tiêu phát triển</x:v>
      </x:c>
      <x:c r="I1" s="61" t="str">
        <x:v>Mục tiêu cảm xúc</x:v>
      </x:c>
      <x:c r="J1" s="61" t="str">
        <x:v>Bối cảnh</x:v>
      </x:c>
      <x:c r="K1" s="61" t="str">
        <x:v>Trạng thái mở đầu</x:v>
      </x:c>
      <x:c r="L1" s="61" t="str">
        <x:v>Sự kiện chính</x:v>
      </x:c>
      <x:c r="M1" s="61" t="str">
        <x:v>Hành động của Meo</x:v>
      </x:c>
      <x:c r="N1" s="61" t="str">
        <x:v>Hành động của Bố</x:v>
      </x:c>
      <x:c r="O1" s="61" t="str">
        <x:v>Trạng thái kết thúc</x:v>
      </x:c>
      <x:c r="P1" s="61" t="str">
        <x:v>Camera</x:v>
      </x:c>
      <x:c r="Q1" s="61" t="str">
        <x:v>Vật lý / Cơ chế</x:v>
      </x:c>
      <x:c r="R1" s="61" t="str">
        <x:v>Lời thoại</x:v>
      </x:c>
      <x:c r="S1" s="61" t="str">
        <x:v>Âm thanh</x:v>
      </x:c>
      <x:c r="T1" s="61" t="str">
        <x:v>Audit story</x:v>
      </x:c>
      <x:c r="U1" s="61" t="str">
        <x:v>Audit prompt</x:v>
      </x:c>
      <x:c r="V1" s="61" t="str">
        <x:v>Ghi chú QC</x:v>
      </x:c>
      <x:c r="W1" s="62" t="str">
        <x:v>Trạng thái</x:v>
      </x:c>
    </x:row>
    <x:row r="2" ht="340" customHeight="1">
      <x:c r="A2" s="57" t="str">
        <x:v>I010-S1-01A</x:v>
      </x:c>
      <x:c r="B2" s="24" t="str">
        <x:v>I-010</x:v>
      </x:c>
      <x:c r="C2" s="24" t="str">
        <x:v>Season 1</x:v>
      </x:c>
      <x:c r="D2" s="24" t="str">
        <x:v>1</x:v>
      </x:c>
      <x:c r="E2" s="24" t="str">
        <x:v>A</x:v>
      </x:c>
      <x:c r="F2" s="24" t="str">
        <x:v>Con đường sao đầu tiên</x:v>
      </x:c>
      <x:c r="G2"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graceful medium-wide side shot on a rooftop painting terrace, with a slow upward tilt keeping Meo, Bố, the canvas and night sky readable together. No cuts.
Setting: a quiet rooftop under a deep blue starry sky. A large canvas sits on a tilting easel beside glowing silver-blue paint. Three tiny friendly star-lights wait above the roofline.
0–2s: Bố grips both sides of the easel and tilts the canvas slightly upward. Meo lifts a glowing brush and begins one continuous curved stroke from lower left to upper right.
2–7s: the luminous stroke grows from the brush tip, lifts away from the canvas and becomes a bright ribbon path in the sky. Two star-lights hop onto it and follow the curve. Bố raises the canvas angle a little more; the floating path tilts with it, sending the curve higher than Meo expected.
7–9s: Meo stops painting. Bố lowers the easel slightly and holds it steady. The two star-lights reach the ribbon end while the third waits behind them.
9–10s: the glowing path stops just short of a small resting-star cluster, leaving a visible gap. End unresolved.
Physics: the sky path grows continuously from the brushstroke; its orientation follows canvas tilt; star-lights stay centered on the ribbon and stop at an open gap.
Audio: soft rooftop ambience, brush swish, easel creak, bell-like star steps, restrained magical shimmer. No dialogue.
Constraints: preserve identity, age, clothing, props and night lighting; no extra characters, falls, frightening motion, camera cuts or text.</x:v>
      </x:c>
      <x:c r="H2" s="24" t="str">
        <x:v>Trình tự + lập kế hoạch hình ảnh qua tạo đường liên tục</x:v>
      </x:c>
      <x:c r="I2" s="24" t="str">
        <x:v>Ngạc nhiên chuyển thành teamwork tập trung</x:v>
      </x:c>
      <x:c r="J2" s="24" t="str">
        <x:v>Sân vẽ trên mái xanh đậm với giá vẽ nghiêng, sơn bạc-xanh và ba star-light thân thiện</x:v>
      </x:c>
      <x:c r="K2" s="24" t="str">
        <x:v>Canvas trắng trên giá nghiêng; ba star-light chờ; Bố giữ giá; Meo cầm cọ phát sáng</x:v>
      </x:c>
      <x:c r="L2" s="24" t="str">
        <x:v>Nét cong rời canvas thành dải trời, nhưng giá nghiêng quá mức làm đường đi quá cao và để một khoảng hở</x:v>
      </x:c>
      <x:c r="M2" s="24" t="str">
        <x:v>Vẽ một đường cong liên tục, dừng rồi quan sát nơi đường kết thúc</x:v>
      </x:c>
      <x:c r="N2" s="24" t="str">
        <x:v>Nắm, nâng, hạ và giữ ổn định giá vẽ nghiêng</x:v>
      </x:c>
      <x:c r="O2" s="24" t="str">
        <x:v>Dải sáng dừng trước cụm sao nghỉ; chưa giải quyết</x:v>
      </x:c>
      <x:c r="P2" s="24" t="str">
        <x:v>Medium-wide ngang thanh thoát, tilt lên chậm; không cắt cảnh</x:v>
      </x:c>
      <x:c r="Q2" s="24" t="str">
        <x:v>Nét sơn mọc liên tục từ đầu cọ; hướng trên trời đi theo độ nghiêng canvas; star-light dừng tại chỗ đứt</x:v>
      </x:c>
      <x:c r="R2" s="24" t="str">
        <x:v>Không thoại</x:v>
      </x:c>
      <x:c r="S2" s="24" t="str">
        <x:v>Ambience mái đêm; cọ lướt; giá kẽo kẹt; bước sao như chuông; lấp lánh tiết chế</x:v>
      </x:c>
      <x:c r="T2" s="24" t="str">
        <x:v>PASS — G-010/G-011/G-012/G-020/G-034/G-036/G-120; visible path-continuity twist, Bố indispensable, child-safe, unresolved Part A.</x:v>
      </x:c>
      <x:c r="U2" s="24" t="str">
        <x:v>PASS — G-002/G-003/G-030/G-031/G-037/G-040/G-050/G-051/G-060/G-070/G-090/G-150/G-160/G-161/G-162/G-163/G-164; 311 words; zero at-sign characters.</x:v>
      </x:c>
      <x:c r="V2" s="24" t="str">
        <x:v>AI text audit only; visual/render audit not yet performed. USER APPROVAL pending.</x:v>
      </x:c>
      <x:c r="W2" s="25" t="str">
        <x:v>AI AUDITED</x:v>
      </x:c>
    </x:row>
    <x:row r="3" ht="340" customHeight="1">
      <x:c r="A3" s="57" t="str">
        <x:v>I010-S1-01B</x:v>
      </x:c>
      <x:c r="B3" s="24" t="str">
        <x:v>I-010</x:v>
      </x:c>
      <x:c r="C3" s="24" t="str">
        <x:v>Season 1</x:v>
      </x:c>
      <x:c r="D3" s="24" t="str">
        <x:v>1</x:v>
      </x:c>
      <x:c r="E3" s="24" t="str">
        <x:v>B</x:v>
      </x:c>
      <x:c r="F3" s="24" t="str">
        <x:v>Con đường sao đầu tiên</x:v>
      </x:c>
      <x:c r="G3" s="24" t="str">
        <x:v>Cartoon Style. Generate a 10-second, 16:9 landscape child-friendly fantasy video in Google Flow using Gemini Omni Flash, Ingredients to Video. Use the approved Meo and Bố references exactly; do not redesign them. Meo is five, with the approved face, twin low pigtails, yellow top and white tiered skirt. Bố is her Asian father with short black hair, small black-rimmed glasses and approved clothing.
Camera: one medium-wide continuity shot from a consistent side angle at child-eye-level, slowly tilting upward with the painted star path. No cuts.
Setting and opening state: the same rooftop terrace. The silver-blue ribbon stops before a resting-star cluster. Two star-lights wait at its edge, a third remains behind them, Bố holds the easel at the corrected lower angle, and Meo keeps the glowing brush raised.
0–2s: Bố locks the easel hinge with one hand and braces the frame with the other so its angle stays fixed.
2–7s: Meo paints a connecting curve from the existing stroke toward the upper canvas corner. The glowing line rises from the brush tip and joins the floating ribbon. Because Bố keeps the canvas steady, the extension grows toward the gap. Two star-lights cross the new section.
7–9s: Meo adds a tiny brush flick to smooth the join. The third star-light follows, and the ribbon settles into one continuous curve leading into the star cluster.
9–10s: all three star-lights settle and twinkle. Meo says in Vietnamese, with a delighted five-year-old voice: “Bố ơi, con nối tới sao rồi!” Keep the exact wording; do not translate it.
Physics: each new section grows continuously from the brush tip and keeps the orientation set by the fixed canvas angle; star-lights move only along connected painted surfaces.
Audio: quiet rooftop ambience, two brush swishes, easel lock click, bell-like star steps, warm shimmer, one short dialogue line.
Constraints: exact A-to-B continuity; preserve identity, age, clothing, props and night lighting; no extra characters, falls, cuts or text.</x:v>
      </x:c>
      <x:c r="H3" s="24" t="str">
        <x:v>Trình tự + lập kế hoạch hình ảnh qua tạo đường liên tục</x:v>
      </x:c>
      <x:c r="I3" s="24" t="str">
        <x:v>Tự tin khi hoàn tất kế hoạch chung</x:v>
      </x:c>
      <x:c r="J3" s="24" t="str">
        <x:v>Cùng sân vẽ trên mái xanh đậm</x:v>
      </x:c>
      <x:c r="K3" s="24" t="str">
        <x:v>Dải sáng kết thúc trước cụm sao nghỉ; hai star-light ở mép, một phía sau; Bố giữ góc đã sửa; Meo nâng cọ</x:v>
      </x:c>
      <x:c r="L3" s="24" t="str">
        <x:v>Một nét nối khép khoảng trống và cho cả ba star-light tới cụm nghỉ</x:v>
      </x:c>
      <x:c r="M3" s="24" t="str">
        <x:v>Vẽ một đường nối cong và một flick nhỏ làm mượt</x:v>
      </x:c>
      <x:c r="N3" s="24" t="str">
        <x:v>Khóa bản lề giá và chống khung canvas ở góc đã sửa</x:v>
      </x:c>
      <x:c r="O3" s="24" t="str">
        <x:v>Cả ba star-light nằm lại và cùng lấp lánh; kết thúc tích cực</x:v>
      </x:c>
      <x:c r="P3" s="24" t="str">
        <x:v>Cùng phía medium-wide liên tục tilt lên; không cắt cảnh</x:v>
      </x:c>
      <x:c r="Q3" s="24" t="str">
        <x:v>Phần sơn mới mọc từ đầu cọ; góc canvas cố định giữ hướng đường; sao chỉ đi trên bề mặt nối liền</x:v>
      </x:c>
      <x:c r="R3" s="24" t="str">
        <x:v>Meo: “Bố ơi, con nối tới sao rồi!”</x:v>
      </x:c>
      <x:c r="S3" s="24" t="str">
        <x:v>Ambience mái; hai nét cọ; khóa giá click; bước sao như chuông; thoại ngắn</x:v>
      </x:c>
      <x:c r="T3" s="24" t="str">
        <x:v>PASS — G-010/G-011/G-012/G-020/G-034/G-036/G-120; exact A→B handoff, Bố indispensable, resolution through planning and teamwork.</x:v>
      </x:c>
      <x:c r="U3" s="24" t="str">
        <x:v>PASS — G-002/G-003/G-030/G-031/G-037/G-040/G-050/G-051/G-060/G-070/G-080/G-081/G-090/G-150/G-160/G-161/G-162/G-163/G-164; 318 words; zero at-sign characters.</x:v>
      </x:c>
      <x:c r="V3" s="24" t="str">
        <x:v>AI text audit only; visual/render audit not yet performed. USER APPROVAL pending.</x:v>
      </x:c>
      <x:c r="W3" s="25" t="str">
        <x:v>AI AUDITED</x:v>
      </x:c>
    </x:row>
    <x:row r="4" ht="340" customHeight="1">
      <x:c r="A4" s="57" t="str">
        <x:v>I010-S1-02A</x:v>
      </x:c>
      <x:c r="B4" s="24" t="str">
        <x:v>I-010</x:v>
      </x:c>
      <x:c r="C4" s="24" t="str">
        <x:v>Season 1</x:v>
      </x:c>
      <x:c r="D4" s="24" t="str">
        <x:v>2</x:v>
      </x:c>
      <x:c r="E4" s="24" t="str">
        <x:v>A</x:v>
      </x:c>
      <x:c r="F4" s="24" t="str">
        <x:v>Mái trăng còn hở</x:v>
      </x:c>
      <x:c r="G4"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steady medium-wide three-quarter shot on the rooftop painting terrace, gently tracking around the canvas and sky above it. No cuts.
Setting: a moonlit side of the terrace with a fresh dark-blue canvas, glowing pearl paint and several tiny drifting star-sparks. A soft crescent moon is visible beyond the roof.
0–2s: Bố grips the easel base and rotates the canvas toward the star-sparks. Meo paints a large glowing arc and curves it back toward its starting point.
2–7s: the painted arc lifts from the canvas and expands into the sky as a translucent luminous canopy. Because Meo leaves an opening between the ends, the canopy remains an open crescent. Bố turns the easel a few degrees to place it beneath three star-sparks. Two sparks touch the glowing surface and glide along it, but the third passes through the open gap.
7–9s: Meo raises the brush toward the unfinished ends. Bố stops rotating the easel and braces the base with one foot and both hands.
9–10s: another star-spark drifts toward the same opening while the crescent canopy glows around it. End unresolved.
Physics: painted lines become luminous sky surfaces; connected paint forms a continuous membrane, while an unpainted opening remains passable; star-sparks slide along painted light but travel through gaps.
Audio: calm rooftop ambience, brush swish, easel creak, soft spark chimes, delicate magical hum. No dialogue.
Constraints: preserve identity, age, clothing, props and moonlit lighting; no extra characters, dangerous falling objects, frightening motion, cuts or text.</x:v>
      </x:c>
      <x:c r="H4" s="24" t="str">
        <x:v>Khép hình + suy luận không gian qua bề mặt sơn</x:v>
      </x:c>
      <x:c r="I4" s="24" t="str">
        <x:v>Tò mò chuyển thành suy luận hình ảnh kiên nhẫn</x:v>
      </x:c>
      <x:c r="J4" s="24" t="str">
        <x:v>Sân vẽ dưới trăng với canvas xanh đậm, sơn ngọc và star-spark đang trôi</x:v>
      </x:c>
      <x:c r="K4" s="24" t="str">
        <x:v>Canvas mới; star-spark trôi; Bố ở đế giá; Meo bắt đầu vẽ cung lớn</x:v>
      </x:c>
      <x:c r="L4" s="24" t="str">
        <x:v>Cung sơn thành mái trời, nhưng khoảng chưa khép cho star-spark đi xuyên qua</x:v>
      </x:c>
      <x:c r="M4" s="24" t="str">
        <x:v>Vẽ cung cong lớn và dừng trước khi khép</x:v>
      </x:c>
      <x:c r="N4" s="24" t="str">
        <x:v>Xoay và chống giá vẽ dưới các star-spark đang trôi</x:v>
      </x:c>
      <x:c r="O4" s="24" t="str">
        <x:v>Một star-spark khác tiến tới khoảng hở nhìn thấy; chưa giải quyết</x:v>
      </x:c>
      <x:c r="P4" s="24" t="str">
        <x:v>Medium-wide three-quarter ổn định theo canvas và trời; không cắt cảnh</x:v>
      </x:c>
      <x:c r="Q4" s="24" t="str">
        <x:v>Sơn nối liền thành bề mặt phát sáng; chỗ chưa sơn vẫn đi xuyên được; spark trượt trên ánh sơn</x:v>
      </x:c>
      <x:c r="R4" s="24" t="str">
        <x:v>Không thoại</x:v>
      </x:c>
      <x:c r="S4" s="24" t="str">
        <x:v>Ambience mái trăng; cọ lướt; giá kẽo kẹt; chuông spark nhẹ; tiếng phép thuật mảnh</x:v>
      </x:c>
      <x:c r="T4" s="24" t="str">
        <x:v>PASS — G-010/G-011/G-012/G-020/G-034/G-036/G-120; open-shape membrane twist is visible, Bố indispensable, child-safe, unresolved Part A.</x:v>
      </x:c>
      <x:c r="U4" s="24" t="str">
        <x:v>PASS — G-002/G-003/G-030/G-031/G-037/G-040/G-050/G-051/G-060/G-070/G-090/G-150/G-160/G-161/G-162/G-163/G-164; 310 words; zero at-sign characters.</x:v>
      </x:c>
      <x:c r="V4" s="24" t="str">
        <x:v>AI text audit only; visual/render audit not yet performed. USER APPROVAL pending.</x:v>
      </x:c>
      <x:c r="W4" s="25" t="str">
        <x:v>AI AUDITED</x:v>
      </x:c>
    </x:row>
    <x:row r="5" ht="340" customHeight="1">
      <x:c r="A5" s="57" t="str">
        <x:v>I010-S1-02B</x:v>
      </x:c>
      <x:c r="B5" s="24" t="str">
        <x:v>I-010</x:v>
      </x:c>
      <x:c r="C5" s="24" t="str">
        <x:v>Season 1</x:v>
      </x:c>
      <x:c r="D5" s="24" t="str">
        <x:v>2</x:v>
      </x:c>
      <x:c r="E5" s="24" t="str">
        <x:v>B</x:v>
      </x:c>
      <x:c r="F5" s="24" t="str">
        <x:v>Mái trăng còn hở</x:v>
      </x:c>
      <x:c r="G5" s="24" t="str">
        <x:v>Cartoon Style. Generate a 10-second, 16:9 landscape child-friendly fantasy video in Google Flow using Gemini Omni Flash, Ingredients to Video. Use the approved Meo and Bố references exactly; do not redesign them. Meo is five, with the approved face, twin low pigtails, yellow top and white tiered skirt. Bố is her Asian father with short black hair, small black-rimmed glasses and approved clothing.
Camera: one medium-wide continuity shot from a fixed three-quarter side angle at child-eye-level, tracking the crescent canopy and star-sparks. No cuts.
Setting and opening state: the same moonlit rooftop. The glowing crescent canopy has one open gap. One star-spark approaches the gap, two others slide along the surface, Bố braces the easel, and Meo holds the pearl-painted brush near the unfinished line.
0–2s: Bố rotates the canvas slightly so the open ends face Meo clearly, then braces the easel firmly and holds the frame steady.
2–7s: Meo paints a smooth closing stroke between the unfinished ends. The new line rises from the brush and seals the crescent into a glowing oval canopy. The approaching star-spark reaches the former gap, touches the new surface and gently slides around the inside edge instead of passing through.
7–9s: Bố tilts the firmly braced canvas slightly downward while Meo lowers the brush. The canopy follows the tilt and guides all three star-sparks toward its lowest center point.
9–10s: the star-sparks gather into a three-star constellation. Meo says in Vietnamese, with a soft amazed five-year-old voice: “Bố ơi, con khép ánh sáng lại rồi!” Keep the exact wording; do not translate it.
Physics: a closed painted line creates a continuous luminous membrane; the sealed surface redirects star-sparks along its interior, while canvas tilt changes the membrane orientation.
Audio: quiet night ambience, brush swish, soft easel brace creak, soft star chimes, gentle shimmer, one short dialogue line.
Constraints: exact A-to-B continuity; preserve identity, age, clothing, props and moonlit lighting; no extra characters, dangerous motion, cuts or text.</x:v>
      </x:c>
      <x:c r="H5" s="24" t="str">
        <x:v>Khép hình + suy luận không gian qua bề mặt sơn</x:v>
      </x:c>
      <x:c r="I5" s="24" t="str">
        <x:v>Vui khi biến ý tưởng chưa hoàn chỉnh thành hình đầy đủ</x:v>
      </x:c>
      <x:c r="J5" s="24" t="str">
        <x:v>Cùng sân vẽ dưới trăng</x:v>
      </x:c>
      <x:c r="K5" s="24" t="str">
        <x:v>Mái lưỡi liềm còn hở; một spark tới khe; hai spark trên bề mặt; Bố chống giá; Meo gần nét chưa hoàn tất</x:v>
      </x:c>
      <x:c r="L5" s="24" t="str">
        <x:v>Nét khép kín mái, sau đó nghiêng canvas dẫn cả ba spark thành một chòm sao</x:v>
      </x:c>
      <x:c r="M5" s="24" t="str">
        <x:v>Vẽ một nét khép rồi hạ cọ</x:v>
      </x:c>
      <x:c r="N5" s="24" t="str">
        <x:v>Xoay, khóa và nghiêng nhẹ giá trong khi giữ khung ổn định</x:v>
      </x:c>
      <x:c r="O5" s="24" t="str">
        <x:v>Ba star-spark tụ thành chòm nhỏ trong mái đã khép; kết thúc tích cực</x:v>
      </x:c>
      <x:c r="P5" s="24" t="str">
        <x:v>Cùng góc three-quarter medium-wide để giữ continuity; không cắt cảnh</x:v>
      </x:c>
      <x:c r="Q5" s="24" t="str">
        <x:v>Đường sơn khép tạo màng liên tục; bề mặt kín đổi hướng spark; nghiêng canvas đổi hướng màng</x:v>
      </x:c>
      <x:c r="R5" s="24" t="str">
        <x:v>Meo: “Bố ơi, con khép ánh sáng lại rồi!”</x:v>
      </x:c>
      <x:c r="S5" s="24" t="str">
        <x:v>Ambience đêm; cọ lướt; khóa giá; chuông sao; lấp lánh nhẹ; thoại ngắn</x:v>
      </x:c>
      <x:c r="T5" s="24" t="str">
        <x:v>PASS — G-010/G-011/G-012/G-020/G-034/G-036/G-120; exact A→B handoff, Bố indispensable, resolution through shape completion and teamwork.</x:v>
      </x:c>
      <x:c r="U5" s="24" t="str">
        <x:v>PASS — G-002/G-003/G-030/G-031/G-037/G-040/G-050/G-051/G-060/G-070/G-080/G-081/G-090/G-150/G-160/G-161/G-162/G-163/G-164; 320 words; zero at-sign characters.</x:v>
      </x:c>
      <x:c r="V5" s="24" t="str">
        <x:v>AI text audit only; visual/render audit not yet performed. USER APPROVAL pending.</x:v>
      </x:c>
      <x:c r="W5" s="25" t="str">
        <x:v>AI AUDITED</x:v>
      </x:c>
    </x:row>
    <x:row r="6" ht="340" customHeight="1">
      <x:c r="A6" s="57" t="str">
        <x:v>I010-S1-03A</x:v>
      </x:c>
      <x:c r="B6" s="24" t="str">
        <x:v>I-010</x:v>
      </x:c>
      <x:c r="C6" s="24" t="str">
        <x:v>Season 1</x:v>
      </x:c>
      <x:c r="D6" s="24" t="str">
        <x:v>3</x:v>
      </x:c>
      <x:c r="E6" s="24" t="str">
        <x:v>A</x:v>
      </x:c>
      <x:c r="F6" s="24" t="str">
        <x:v>Thang sao bị võng</x:v>
      </x:c>
      <x:c r="G6"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smooth medium-wide side shot on the moonlit rooftop terrace, gently tracking upward with the canvas and painted structure. No cuts.
Setting: a deep-indigo night sky. A fresh canvas holds glowing gold paint. Three tiny friendly star-lights hover beside the easel.
0–2s: Bố grips both sides of the easel and tilts the canvas upward. Meo paints four short horizontal gold strokes, one above another, like ladder rungs.
2–7s: each stroke lifts from the canvas and becomes a floating luminous rung. Bố raises the easel slightly so the rungs stack into a small stairway. The lowest two strokes are thick and stay firm; the upper two are visibly thinner. One star-light steps onto the first rung, then the second. When it reaches the thin third rung, the painted light bends downward in a soft curve instead of staying level.
7–9s: Bố stops changing the angle and braces the easel hinge. Meo lowers the brush and studies the thick and thin strokes. The star-light waits calmly on the firm second rung.
9–10s: the thin third rung slowly rebounds but still sags below the next step. End unresolved.
Physics: thicker painted strokes become stiffer luminous structures; thin strokes flex more under a star-light and return gradually when unloaded.
Audio: quiet rooftop ambience, brush swishes, easel creak, soft flex tones, bell-like star steps. No dialogue.
Constraints: preserve identity, age, clothing, props and night lighting; friendly star-lights only; no falls, broken structures, extra characters, frightening motion, cuts or text.</x:v>
      </x:c>
      <x:c r="H6" s="24" t="str">
        <x:v>Lập kế hoạch hình ảnh + suy luận vật liệu qua độ dày sơn</x:v>
      </x:c>
      <x:c r="I6" s="24" t="str">
        <x:v>Tò mò chuyển thành quan sát cẩn thận</x:v>
      </x:c>
      <x:c r="J6" s="24" t="str">
        <x:v>Sân vẽ dưới trăng với sơn vàng, giá nghiêng và ba star-light</x:v>
      </x:c>
      <x:c r="K6" s="24" t="str">
        <x:v>Canvas mới; ba star-light gần đó; Bố giữ giá; Meo cầm cọ vàng phát sáng</x:v>
      </x:c>
      <x:c r="L6" s="24" t="str">
        <x:v>Các bậc sơn thành cầu thang trời; một bậc mỏng võng rõ dưới star-light</x:v>
      </x:c>
      <x:c r="M6" s="24" t="str">
        <x:v>Vẽ bốn nét ngang rồi hạ cọ, so sánh bậc dày với mỏng</x:v>
      </x:c>
      <x:c r="N6" s="24" t="str">
        <x:v>Nghiêng, nâng và chống bản lề giá</x:v>
      </x:c>
      <x:c r="O6" s="24" t="str">
        <x:v>Bậc mỏng thứ ba hồi lại nhưng vẫn võng; star-light chờ an toàn; chưa giải quyết</x:v>
      </x:c>
      <x:c r="P6" s="24" t="str">
        <x:v>Medium-wide ngang mượt, tracking lên; không cắt cảnh</x:v>
      </x:c>
      <x:c r="Q6" s="24" t="str">
        <x:v>Độ dày sơn quyết định độ cứng kết cấu phát sáng; nét mỏng uốn nhiều hơn và hồi dần</x:v>
      </x:c>
      <x:c r="R6" s="24" t="str">
        <x:v>Không thoại</x:v>
      </x:c>
      <x:c r="S6" s="24" t="str">
        <x:v>Ambience mái; cọ lướt; giá kẽo kẹt; âm uốn nhẹ; bước sao như chuông</x:v>
      </x:c>
      <x:c r="T6" s="24" t="str">
        <x:v>PASS — G-010/G-011/G-012/G-020/G-034/G-036/G-120; paint-thickness stiffness twist is visible, Bố indispensable, child-safe, unresolved Part A.</x:v>
      </x:c>
      <x:c r="U6" s="24" t="str">
        <x:v>PASS — G-002/G-003/G-030/G-031/G-037/G-040/G-050/G-051/G-060/G-070/G-090/G-150/G-160/G-161/G-162/G-163/G-164; 309 words; zero at-sign characters.</x:v>
      </x:c>
      <x:c r="V6" s="24" t="str">
        <x:v>AI text audit only; visual/render audit not yet performed. USER APPROVAL pending.</x:v>
      </x:c>
      <x:c r="W6" s="25" t="str">
        <x:v>AI AUDITED</x:v>
      </x:c>
    </x:row>
    <x:row r="7" ht="340" customHeight="1">
      <x:c r="A7" s="57" t="str">
        <x:v>I010-S1-03B</x:v>
      </x:c>
      <x:c r="B7" s="24" t="str">
        <x:v>I-010</x:v>
      </x:c>
      <x:c r="C7" s="24" t="str">
        <x:v>Season 1</x:v>
      </x:c>
      <x:c r="D7" s="24" t="str">
        <x:v>3</x:v>
      </x:c>
      <x:c r="E7" s="24" t="str">
        <x:v>B</x:v>
      </x:c>
      <x:c r="F7" s="24" t="str">
        <x:v>Thang sao bị võng</x:v>
      </x:c>
      <x:c r="G7"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smooth medium-wide continuity shot, tracking upward with the glowing stairway. No cuts.
Setting and opening state: the same moonlit rooftop. Four gold painted rungs float above the canvas. The third rung still sags slightly, the fourth is thin, one star-light waits on the firm second rung, two others hover nearby, Bố braces the easel hinge, and Meo holds the glowing brush lowered.
0–2s: Bố locks the easel at the current angle and grips the frame so the stairway stays fixed.
2–7s: Meo paints one reinforcing pass over the thin third stroke on the canvas, then a second pass over the fourth. Each added layer rises into the sky and merges with its matching rung, making both thicker. The third rung straightens. The waiting star-light steps onto it; the rung bends only slightly and stays aligned.
7–9s: Bố keeps the easel locked while Meo lowers the brush. The first star-light climbs onto the reinforced fourth rung; the other two follow.
9–10s: all three star-lights settle on a small glowing platform at the top. Meo says in Vietnamese, with a proud five-year-old voice: “Bố ơi, nét dày chắc hơn rồi!” Keep the wording; do not translate it.
Physics: added paint layers increase stroke thickness and stiffness; reinforced rungs flex less under the same tiny load.
Audio: calm rooftop ambience, two brush swishes, easel lock click, soft flex tones, bell-like star steps, one short dialogue line.
Constraints: exact A-to-B continuity; preserve identity, age, clothing, props and lighting; no falls, snapping structures, extra characters, cuts or text.</x:v>
      </x:c>
      <x:c r="H7" s="24" t="str">
        <x:v>Lập kế hoạch hình ảnh + suy luận vật liệu qua độ dày sơn</x:v>
      </x:c>
      <x:c r="I7" s="24" t="str">
        <x:v>Tự tin khi gia cường điểm yếu thay vì làm lại</x:v>
      </x:c>
      <x:c r="J7" s="24" t="str">
        <x:v>Cùng sân vẽ dưới trăng</x:v>
      </x:c>
      <x:c r="K7" s="24" t="str">
        <x:v>Bốn bậc vàng nổi; bậc ba võng, bậc bốn mỏng; một star-light chờ ở bậc hai; Bố chống giá; Meo hạ cọ</x:v>
      </x:c>
      <x:c r="L7" s="24" t="str">
        <x:v>Thêm lớp sơn gia cường các bậc mỏng để ba star-light leo an toàn</x:v>
      </x:c>
      <x:c r="M7" s="24" t="str">
        <x:v>Tô thêm một lượt gia cường cho mỗi bậc mỏng rồi hạ cọ</x:v>
      </x:c>
      <x:c r="N7" s="24" t="str">
        <x:v>Khóa góc giá và chống khung suốt quá trình leo</x:v>
      </x:c>
      <x:c r="O7" s="24" t="str">
        <x:v>Cả ba star-light tới bệ trên phát sáng; kết thúc tích cực</x:v>
      </x:c>
      <x:c r="P7" s="24" t="str">
        <x:v>Medium-wide liên tục tracking lên; không cắt cảnh</x:v>
      </x:c>
      <x:c r="Q7" s="24" t="str">
        <x:v>Thêm độ dày sơn tăng độ cứng; bậc gia cường ít võng hơn dưới cùng tải nhỏ</x:v>
      </x:c>
      <x:c r="R7" s="24" t="str">
        <x:v>Meo: “Bố ơi, nét dày chắc hơn rồi!”</x:v>
      </x:c>
      <x:c r="S7" s="24" t="str">
        <x:v>Ambience mái; hai nét cọ; khóa giá; âm uốn; bước sao; thoại ngắn</x:v>
      </x:c>
      <x:c r="T7" s="24" t="str">
        <x:v>PASS — G-010/G-011/G-012/G-020/G-034/G-036/G-120; exact A→B handoff, Bố indispensable, reinforcement solution resolves through observation and teamwork.</x:v>
      </x:c>
      <x:c r="U7" s="24" t="str">
        <x:v>PASS — G-002/G-003/G-030/G-031/G-037/G-040/G-050/G-051/G-060/G-070/G-080/G-081/G-090/G-150/G-160/G-161/G-162/G-163/G-164; 319 words; zero at-sign characters.</x:v>
      </x:c>
      <x:c r="V7" s="24" t="str">
        <x:v>AI text audit only; visual/render audit not yet performed. USER APPROVAL pending.</x:v>
      </x:c>
      <x:c r="W7" s="25" t="str">
        <x:v>AI AUDITED</x:v>
      </x:c>
    </x:row>
    <x:row r="8" ht="340" customHeight="1">
      <x:c r="A8" s="57" t="str">
        <x:v>I010-S1-04A</x:v>
      </x:c>
      <x:c r="B8" s="24" t="str">
        <x:v>I-010</x:v>
      </x:c>
      <x:c r="C8" s="24" t="str">
        <x:v>Season 1</x:v>
      </x:c>
      <x:c r="D8" s="24" t="str">
        <x:v>4</x:v>
      </x:c>
      <x:c r="E8" s="24" t="str">
        <x:v>A</x:v>
      </x:c>
      <x:c r="F8" s="24" t="str">
        <x:v>Cửa sổ ánh trăng</x:v>
      </x:c>
      <x:c r="G8"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steady medium-wide three-quarter shot on the rooftop terrace, slowly tracking from the canvas toward a soft moonbeam. No cuts.
Setting: a clear midnight rooftop with a large pale moon. A dark canvas sits on a rotating easel beside glowing cyan and violet paint. Three tiny star-buds rest inside a shallow painted bowl of light above the roofline.
0–2s: Bố grips the easel base and turns the canvas toward the moon. Meo paints three tall rectangular strokes side by side: two thin cyan washes and one thick violet block.
2–7s: the rectangles lift from the canvas and become three floating luminous panes. Bố rotates the easel until the moonbeam crosses them toward the star-buds. Light passes through the first thin cyan pane and remains bright through the second. At the thick violet pane, the beam dims sharply and stops before the star-buds. They remain dark.
7–9s: Bố rotates the easel back a few degrees and braces the base. Meo holds her brush beside an empty narrow space next to the thick pane, noticing that thinner painted surfaces transmit more light.
9–10s: the moonbeam brightens through the two cyan panes but still cannot reach the star-buds. End unresolved.
Physics: thin painted washes become translucent sky panes that transmit most moonlight; thicker paint becomes more opaque and reduces transmitted light.
Audio: quiet midnight ambience, brush swishes, easel creak, glass-like shimmer, faint moonbeam hum. No dialogue.
Constraints: preserve identity, age, clothing, props and lighting; gentle magical light only; no broken glass, extra characters, frightening motion, cuts or text.</x:v>
      </x:c>
      <x:c r="H8" s="24" t="str">
        <x:v>Độ đục + truyền sáng qua các lớp sơn</x:v>
      </x:c>
      <x:c r="I8" s="24" t="str">
        <x:v>Tò mò chuyển thành so sánh hình ảnh kiên nhẫn</x:v>
      </x:c>
      <x:c r="J8" s="24" t="str">
        <x:v>Sân mái nửa đêm với sơn cyan/tím, giá xoay, ánh trăng và ba nụ sao</x:v>
      </x:c>
      <x:c r="K8" s="24" t="str">
        <x:v>Canvas tối mới; nụ sao chưa sáng; Bố ở giá xoay; Meo có sơn cyan và tím</x:v>
      </x:c>
      <x:c r="L8" s="24" t="str">
        <x:v>Các ô sơn thành cửa sổ trời thật; lớp mỏng truyền ánh trăng, lớp dày chặn ánh</x:v>
      </x:c>
      <x:c r="M8" s="24" t="str">
        <x:v>Vẽ hai ô cyan mỏng và một ô tím dày rồi quan sát khác biệt ánh sáng</x:v>
      </x:c>
      <x:c r="N8" s="24" t="str">
        <x:v>Xoay giá vào tia trăng, lùi lại và giữ đế</x:v>
      </x:c>
      <x:c r="O8" s="24" t="str">
        <x:v>Ánh trăng vẫn không tới nụ sao qua ô dày; chưa giải quyết</x:v>
      </x:c>
      <x:c r="P8" s="24" t="str">
        <x:v>Medium-wide three-quarter ổn định tracking canvas tới tia trăng; không cắt cảnh</x:v>
      </x:c>
      <x:c r="Q8" s="24" t="str">
        <x:v>Sơn phát sáng mỏng trong mờ; lớp dày đục hơn và giảm ánh trăng truyền qua</x:v>
      </x:c>
      <x:c r="R8" s="24" t="str">
        <x:v>Không thoại</x:v>
      </x:c>
      <x:c r="S8" s="24" t="str">
        <x:v>Ambience nửa đêm; cọ lướt; giá kẽo kẹt; lấp lánh như kính; tiếng trăng ngân</x:v>
      </x:c>
      <x:c r="T8" s="24" t="str">
        <x:v>PASS — G-010/G-011/G-012/G-020/G-034/G-036/G-120; opacity/transmission twist is visible, Bố indispensable, child-safe, unresolved Part A.</x:v>
      </x:c>
      <x:c r="U8" s="24" t="str">
        <x:v>PASS — G-002/G-003/G-030/G-031/G-037/G-040/G-050/G-051/G-060/G-070/G-090/G-150/G-160/G-161/G-162/G-163/G-164; 320 words; zero at-sign characters.</x:v>
      </x:c>
      <x:c r="V8" s="24" t="str">
        <x:v>AI text audit only; visual/render audit not yet performed. USER APPROVAL pending.</x:v>
      </x:c>
      <x:c r="W8" s="25" t="str">
        <x:v>AI AUDITED</x:v>
      </x:c>
    </x:row>
    <x:row r="9" ht="340" customHeight="1">
      <x:c r="A9" s="57" t="str">
        <x:v>I010-S1-04B</x:v>
      </x:c>
      <x:c r="B9" s="24" t="str">
        <x:v>I-010</x:v>
      </x:c>
      <x:c r="C9" s="24" t="str">
        <x:v>Season 1</x:v>
      </x:c>
      <x:c r="D9" s="24" t="str">
        <x:v>4</x:v>
      </x:c>
      <x:c r="E9" s="24" t="str">
        <x:v>B</x:v>
      </x:c>
      <x:c r="F9" s="24" t="str">
        <x:v>Cửa sổ ánh trăng</x:v>
      </x:c>
      <x:c r="G9"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steady medium-wide continuity shot, tracking the moonbeam toward the star-buds. No cuts.
Setting and opening state: the same midnight rooftop. Two thin cyan sky panes transmit the moonbeam, one thick violet pane blocks it, three star-buds remain dark, Bố braces the rotating easel, and Meo holds the glowing brush beside a narrow empty space next to the violet pane.
0–2s: Bố turns the easel slightly so the empty space aligns with the moonbeam, then locks the base and steadies the frame.
2–7s: Meo paints one very thin pale-blue wash across that space. The stroke lifts into a translucent floating pane. The moonbeam passes through the two cyan panes and the new thin pane, bypassing the opaque violet block. The beam stays bright and reaches the painted bowl of light.
7–9s: the three star-buds glow from their centers and open into small five-point star-lights while Bố holds the easel steady. Meo lowers the brush.
9–10s: the three new star-lights twinkle together. Meo says in Vietnamese, with a delighted five-year-old voice: “Bố ơi, nét mỏng cho trăng đi qua!” Keep the wording; do not translate it.
Physics: paint opacity follows visible layer thickness; thin washes transmit moonlight, while the thick violet pane remains opaque.
Audio: quiet rooftop ambience, one brush swish, easel lock click, moonbeam hum, three star chimes, one short dialogue line.
Constraints: exact A-to-B continuity; preserve identity, age, clothing, props and midnight lighting; gentle light only; no broken glass, extra characters, dangerous motion, cuts or text.</x:v>
      </x:c>
      <x:c r="H9" s="24" t="str">
        <x:v>Độ đục + truyền sáng qua các lớp sơn</x:v>
      </x:c>
      <x:c r="I9" s="24" t="str">
        <x:v>Vui khi chọn giải pháp nhẹ và mỏng hơn</x:v>
      </x:c>
      <x:c r="J9" s="24" t="str">
        <x:v>Cùng sân mái nửa đêm</x:v>
      </x:c>
      <x:c r="K9" s="24" t="str">
        <x:v>Hai ô cyan mỏng truyền trăng; ô tím dày chặn; ba nụ sao tối; Bố chống giá; Meo cạnh khoảng hẹp trống</x:v>
      </x:c>
      <x:c r="L9" s="24" t="str">
        <x:v>Một ô sơn rất mỏng mới tạo đường trong cho ánh trăng và mở cả ba nụ sao</x:v>
      </x:c>
      <x:c r="M9" s="24" t="str">
        <x:v>Vẽ một lớp wash xanh nhạt mỏng rồi hạ cọ</x:v>
      </x:c>
      <x:c r="N9" s="24" t="str">
        <x:v>Xoay, khóa và giữ giá để đường trong thẳng với tia trăng</x:v>
      </x:c>
      <x:c r="O9" s="24" t="str">
        <x:v>Ba nụ sao mở thành star-light và lấp lánh; kết thúc tích cực</x:v>
      </x:c>
      <x:c r="P9" s="24" t="str">
        <x:v>Medium-wide liên tục tracking tia trăng tới nụ sao; không cắt cảnh</x:v>
      </x:c>
      <x:c r="Q9" s="24" t="str">
        <x:v>Độ đục theo độ dày lớp; wash mỏng truyền sáng còn ô tím dày vẫn chặn</x:v>
      </x:c>
      <x:c r="R9" s="24" t="str">
        <x:v>Meo: “Bố ơi, nét mỏng cho trăng đi qua!”</x:v>
      </x:c>
      <x:c r="S9" s="24" t="str">
        <x:v>Ambience mái; cọ lướt; khóa giá; trăng ngân; ba chuông sao; thoại ngắn</x:v>
      </x:c>
      <x:c r="T9" s="24" t="str">
        <x:v>PASS — G-010/G-011/G-012/G-020/G-034/G-036/G-120; exact A→B handoff, Bố indispensable, transparency solution resolves through visual comparison and teamwork.</x:v>
      </x:c>
      <x:c r="U9" s="24" t="str">
        <x:v>PASS — G-002/G-003/G-030/G-031/G-037/G-040/G-050/G-051/G-060/G-070/G-080/G-081/G-090/G-150/G-160/G-161/G-162/G-163/G-164; 312 words; zero at-sign characters.</x:v>
      </x:c>
      <x:c r="V9" s="24" t="str">
        <x:v>AI text audit only; visual/render audit not yet performed. USER APPROVAL pending.</x:v>
      </x:c>
      <x:c r="W9" s="25" t="str">
        <x:v>AI AUDITED</x:v>
      </x:c>
    </x:row>
    <x:row r="10" ht="340" customHeight="1">
      <x:c r="A10" s="57" t="str">
        <x:v>I010-S1-05A</x:v>
      </x:c>
      <x:c r="B10" s="24" t="str">
        <x:v>I-010</x:v>
      </x:c>
      <x:c r="C10" s="24" t="str">
        <x:v>Season 1</x:v>
      </x:c>
      <x:c r="D10" s="24" t="str">
        <x:v>5</x:v>
      </x:c>
      <x:c r="E10" s="24" t="str">
        <x:v>A</x:v>
      </x:c>
      <x:c r="F10" s="24" t="str">
        <x:v>Cầu trượt ngôi sao</x:v>
      </x:c>
      <x:c r="G10"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smooth medium-wide side shot on the moonlit rooftop terrace, gently tracking downward with the painted structure. No cuts.
Setting: a deep-indigo night sky above the rooftop painting terrace. A fresh canvas holds silver-gold paint. Three tiny friendly star-lights hover near the easel.
0–2s: Bố grips both sides of the easel and tilts the canvas into a shallow downward angle. Meo paints one long curved silver-gold stroke using short dry brush marks, creating a visibly rough texture.
2–7s: the stroke lifts from the canvas and becomes a glowing sky slide. One star-light steps onto the upper end. It glides a short distance, then slows where the painted ridges are roughest. Bố lowers the easel a little more, but the star-light still creeps slowly while a second waits behind. The lower tail, painted with smoother strokes, glows more evenly.
7–9s: Bố stops changing the angle and braces the easel hinge. Meo lowers the brush and compares the rough upper section with the smoother tail.
9–10s: the lead star-light remains paused just before the final curve. End unresolved.
Physics: rough painted texture creates more sliding resistance; smoother paint creates less resistance on the same slope.
Audio: quiet rooftop ambience, dry brush swishes, easel creak, soft scraping shimmer, bell-like star steps. No dialogue.
Constraints: preserve identity, age, clothing, props and night lighting; friendly star-lights only; no falls, hard impacts, extra characters, frightening motion, camera cuts or text.</x:v>
      </x:c>
      <x:c r="H10" s="24" t="str">
        <x:v>Nhân quả qua texture bề mặt + lực cản trượt</x:v>
      </x:c>
      <x:c r="I10" s="24" t="str">
        <x:v>Tò mò chuyển thành so sánh cẩn thận</x:v>
      </x:c>
      <x:c r="J10" s="24" t="str">
        <x:v>Sân mái dưới trăng với sơn bạc-vàng và ba star-light</x:v>
      </x:c>
      <x:c r="K10" s="24" t="str">
        <x:v>Canvas mới; Bố giữ giá; Meo cầm cọ sáng; ba star-light gần đó</x:v>
      </x:c>
      <x:c r="L10" s="24" t="str">
        <x:v>Đường trượt sơn thô làm một star-light chậm lại trước khúc cong cuối</x:v>
      </x:c>
      <x:c r="M10" s="24" t="str">
        <x:v>Vẽ một nét cong thô rồi dừng so sánh đoạn thô và mượt</x:v>
      </x:c>
      <x:c r="N10" s="24" t="str">
        <x:v>Nghiêng, hạ và chống giá</x:v>
      </x:c>
      <x:c r="O10" s="24" t="str">
        <x:v>Star-light dẫn đầu còn dừng trước khúc cong cuối; chưa giải quyết</x:v>
      </x:c>
      <x:c r="P10" s="24" t="str">
        <x:v>Medium-wide ngang mượt tracking xuống; không cắt cảnh</x:v>
      </x:c>
      <x:c r="Q10" s="24" t="str">
        <x:v>Texture sơn thô tăng lực cản trượt trên cùng độ dốc</x:v>
      </x:c>
      <x:c r="R10" s="24" t="str">
        <x:v>Không thoại</x:v>
      </x:c>
      <x:c r="S10" s="24" t="str">
        <x:v>Ambience mái; cọ khô lướt; giá kẽo kẹt; lấp lánh cọ xát; bước sao</x:v>
      </x:c>
      <x:c r="T10" s="24" t="str">
        <x:v>PASS — G-010/G-011/G-012/G-020/G-034/G-036/G-120; texture/friction twist visible, Bố indispensable, child-safe, unresolved Part A.</x:v>
      </x:c>
      <x:c r="U10" s="24" t="str">
        <x:v>PASS — G-002/G-003/G-030/G-031/G-037/G-040/G-050/G-051/G-060/G-070/G-090/G-150/G-160/G-161/G-162/G-163/G-164; 299 words; zero at-sign characters.</x:v>
      </x:c>
      <x:c r="V10" s="24" t="str">
        <x:v>AI text audit only; visual/render audit not yet performed. USER APPROVAL pending.</x:v>
      </x:c>
      <x:c r="W10" s="25" t="str">
        <x:v>AI AUDITED</x:v>
      </x:c>
    </x:row>
    <x:row r="11" ht="340" customHeight="1">
      <x:c r="A11" s="57" t="str">
        <x:v>I010-S1-05B</x:v>
      </x:c>
      <x:c r="B11" s="24" t="str">
        <x:v>I-010</x:v>
      </x:c>
      <x:c r="C11" s="24" t="str">
        <x:v>Season 1</x:v>
      </x:c>
      <x:c r="D11" s="24" t="str">
        <x:v>5</x:v>
      </x:c>
      <x:c r="E11" s="24" t="str">
        <x:v>B</x:v>
      </x:c>
      <x:c r="F11" s="24" t="str">
        <x:v>Cầu trượt ngôi sao</x:v>
      </x:c>
      <x:c r="G11"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smooth medium-wide continuity shot from a consistent side angle at child-eye-level, tracking along the glowing slide toward its lower landing crescent. No cuts.
Setting and opening state: the same moonlit rooftop. The silver-gold sky slide remains rough along its upper section, the lead star-light is paused before the final curve, a second waits behind it, a third hovers nearby, Bố braces the easel hinge, and Meo holds the glowing brush lowered.
0–2s: Bố locks the easel at the current shallow slope and grips the frame so the slide angle cannot drift.
2–7s: Meo paints one broad smoothing pass over the rough upper stroke, then adds one small glossy finishing stroke near the curve. Each new layer rises from the canvas and merges with the matching sky section, flattening the visible ridges. The lead star-light begins gliding again; the second follows, and the third joins the upper end.
7–9s: Bố keeps the easel locked while all three star-lights slide smoothly through the curve and onto the glowing crescent landing.
9–10s: they settle and twinkle together. Meo says in Vietnamese, with a delighted five-year-old voice: “Bố ơi, nét mượt cho sao trượt rồi!” Keep the exact wording; do not translate it.
Physics: smoothing the painted texture lowers sliding resistance while the slope stays unchanged.
Audio: quiet rooftop ambience, two brush swishes, easel lock click, soft sliding shimmer, three gentle star chimes, one short dialogue line.
Constraints: exact A-to-B continuity; preserve identity, age, clothing, props and lighting; no falls, collisions, extra characters, cuts or text.</x:v>
      </x:c>
      <x:c r="H11" s="24" t="str">
        <x:v>Nhân quả qua texture bề mặt + lực cản trượt</x:v>
      </x:c>
      <x:c r="I11" s="24" t="str">
        <x:v>Tự tin khi cải thiện thay vì làm lại</x:v>
      </x:c>
      <x:c r="J11" s="24" t="str">
        <x:v>Cùng sân mái dưới trăng</x:v>
      </x:c>
      <x:c r="K11" s="24" t="str">
        <x:v>Đường trượt trời thô còn; star-light đầu dừng; hai chiếc chờ; Bố chống giá; Meo hạ cọ</x:v>
      </x:c>
      <x:c r="L11" s="24" t="str">
        <x:v>Làm mượt sơn giảm lực cản để cả ba star-light tới lưỡi liềm đáp</x:v>
      </x:c>
      <x:c r="M11" s="24" t="str">
        <x:v>Tô một lượt làm mượt và một nét bóng hoàn thiện</x:v>
      </x:c>
      <x:c r="N11" s="24" t="str">
        <x:v>Khóa độ dốc giá và chống khung</x:v>
      </x:c>
      <x:c r="O11" s="24" t="str">
        <x:v>Ba star-light nằm lại và cùng lấp lánh; kết thúc tích cực</x:v>
      </x:c>
      <x:c r="P11" s="24" t="str">
        <x:v>Cùng phía medium-wide tracking đường trượt; không cắt cảnh</x:v>
      </x:c>
      <x:c r="Q11" s="24" t="str">
        <x:v>Texture mượt hơn giảm lực cản trượt trong khi độ dốc giữ nguyên</x:v>
      </x:c>
      <x:c r="R11" s="24" t="str">
        <x:v>Meo: “Bố ơi, nét mượt cho sao trượt rồi!”</x:v>
      </x:c>
      <x:c r="S11" s="24" t="str">
        <x:v>Ambience mái; hai nét cọ; khóa giá; tiếng trượt lấp lánh; chuông sao; thoại ngắn</x:v>
      </x:c>
      <x:c r="T11" s="24" t="str">
        <x:v>PASS — G-010/G-011/G-012/G-020/G-034/G-036/G-120; exact A→B handoff, Bố indispensable, solution through observation and refinement.</x:v>
      </x:c>
      <x:c r="U11" s="24" t="str">
        <x:v>PASS — G-002/G-003/G-030/G-031/G-037/G-040/G-050/G-051/G-060/G-070/G-080/G-081/G-090/G-150/G-160/G-161/G-162/G-163/G-164; 318 words; zero at-sign characters.</x:v>
      </x:c>
      <x:c r="V11" s="24" t="str">
        <x:v>AI text audit only; visual/render audit not yet performed. USER APPROVAL pending.</x:v>
      </x:c>
      <x:c r="W11" s="25" t="str">
        <x:v>AI AUDITED</x:v>
      </x:c>
    </x:row>
    <x:row r="12" ht="340" customHeight="1">
      <x:c r="A12" s="57" t="str">
        <x:v>I010-S1-06A</x:v>
      </x:c>
      <x:c r="B12" s="24" t="str">
        <x:v>I-010</x:v>
      </x:c>
      <x:c r="C12" s="24" t="str">
        <x:v>Season 1</x:v>
      </x:c>
      <x:c r="D12" s="24" t="str">
        <x:v>6</x:v>
      </x:c>
      <x:c r="E12" s="24" t="str">
        <x:v>A</x:v>
      </x:c>
      <x:c r="F12" s="24" t="str">
        <x:v>Gương trăng bạc</x:v>
      </x:c>
      <x:c r="G12"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steady medium-wide three-quarter shot on the rooftop terrace, gently tracking from the canvas toward a pale moonbeam and one sleepy star-bud. No cuts.
Setting: a clear midnight sky. A fresh canvas holds metallic silver paint. One closed star-bud rests above the roofline inside a small painted bowl of light.
0–2s: Bố grips the rotating easel base and turns the canvas toward the moon. Meo paints one tall silver ribbon with a visibly angled upper edge.
2–7s: the painted ribbon lifts from the canvas and becomes a floating mirror-like sky panel. A soft moonbeam strikes the panel and reflects sideways. Bố rotates the easel a few degrees, changing the panel orientation, but the reflected beam slides just above the sleepy star-bud. He adjusts once more and the beam moves farther past it instead of reaching the center.
7–9s: Bố returns the easel slightly and braces the base. Meo raises the brush beside the angled edge and watches the reflected light path.
9–10s: the star-bud remains closed while the reflected beam glows just above it. End unresolved.
Physics: the metallic painted surface reflects moonlight; changing the panel angle changes the reflected direction in one clear visible path.
Audio: quiet midnight ambience, brush swish, easel creak, silver shimmer, soft moonbeam hum. No dialogue.
Constraints: preserve identity, age, clothing, props and midnight lighting; gentle magical light only; no broken mirror pieces, extra characters, frightening motion, cuts or text.</x:v>
      </x:c>
      <x:c r="H12" s="24" t="str">
        <x:v>Suy luận góc phản xạ + dự đoán hình ảnh</x:v>
      </x:c>
      <x:c r="I12" s="24" t="str">
        <x:v>Tò mò chuyển thành điều chỉnh tập trung</x:v>
      </x:c>
      <x:c r="J12" s="24" t="str">
        <x:v>Mái nửa đêm với sơn bạc kim loại, tia trăng và một nụ sao buồn ngủ</x:v>
      </x:c>
      <x:c r="K12" s="24" t="str">
        <x:v>Canvas mới; nụ sao đóng; Bố ở giá xoay; Meo cầm cọ bạc</x:v>
      </x:c>
      <x:c r="L12" s="24" t="str">
        <x:v>Gương sơn phản xạ tia trăng nhưng sai góc nên hụt nụ sao</x:v>
      </x:c>
      <x:c r="M12" s="24" t="str">
        <x:v>Vẽ một dải bạc và quan sát đường phản xạ</x:v>
      </x:c>
      <x:c r="N12" s="24" t="str">
        <x:v>Xoay, trả lại và chống giá</x:v>
      </x:c>
      <x:c r="O12" s="24" t="str">
        <x:v>Tia phản xạ sáng ngay phía trên nụ sao; chưa giải quyết</x:v>
      </x:c>
      <x:c r="P12" s="24" t="str">
        <x:v>Medium-wide three-quarter ổn định theo tia trăng; không cắt cảnh</x:v>
      </x:c>
      <x:c r="Q12" s="24" t="str">
        <x:v>Bề mặt sơn kim loại phản xạ ánh sáng; góc panel đổi hướng phản xạ</x:v>
      </x:c>
      <x:c r="R12" s="24" t="str">
        <x:v>Không thoại</x:v>
      </x:c>
      <x:c r="S12" s="24" t="str">
        <x:v>Ambience nửa đêm; cọ lướt; giá kẽo kẹt; bạc lấp lánh; trăng ngân</x:v>
      </x:c>
      <x:c r="T12" s="24" t="str">
        <x:v>PASS — G-010/G-011/G-012/G-020/G-034/G-036/G-120; reflection-angle twist visible, Bố indispensable, child-safe, unresolved Part A.</x:v>
      </x:c>
      <x:c r="U12" s="24" t="str">
        <x:v>PASS — G-002/G-003/G-030/G-031/G-037/G-040/G-050/G-051/G-060/G-070/G-090/G-150/G-160/G-161/G-162/G-163/G-164; 300 words; zero at-sign characters.</x:v>
      </x:c>
      <x:c r="V12" s="24" t="str">
        <x:v>AI text audit only; visual/render audit not yet performed. USER APPROVAL pending.</x:v>
      </x:c>
      <x:c r="W12" s="25" t="str">
        <x:v>AI AUDITED</x:v>
      </x:c>
    </x:row>
    <x:row r="13" ht="340" customHeight="1">
      <x:c r="A13" s="57" t="str">
        <x:v>I010-S1-06B</x:v>
      </x:c>
      <x:c r="B13" s="24" t="str">
        <x:v>I-010</x:v>
      </x:c>
      <x:c r="C13" s="24" t="str">
        <x:v>Season 1</x:v>
      </x:c>
      <x:c r="D13" s="24" t="str">
        <x:v>6</x:v>
      </x:c>
      <x:c r="E13" s="24" t="str">
        <x:v>B</x:v>
      </x:c>
      <x:c r="F13" s="24" t="str">
        <x:v>Gương trăng bạc</x:v>
      </x:c>
      <x:c r="G13" s="24" t="str">
        <x:v>Cartoon Style. Generate a 10-second, 16:9 landscape child-friendly fantasy video in Google Flow using Gemini Omni Flash, Ingredients to Video. Use the approved Meo and Bố references exactly; do not redesign them. Meo is five, with the approved face, twin low pigtails, yellow top and white tiered skirt. Bố is her Asian father with short black hair, small black-rimmed glasses and approved clothing.
Camera: one steady medium-wide continuity shot from a fixed three-quarter side angle at child-eye-level, following the reflected moonbeam toward the star-bud. No cuts.
Setting and opening state: the same midnight rooftop. The silver mirror panel floats above the canvas, the reflected moonbeam still passes just above the closed star-bud, Bố braces the easel base, and Meo holds the glowing silver brush near the angled edge.
0–2s: Bố turns the easel a few degrees downward and locks the base, holding the mirror panel steady.
2–7s: Meo paints one short triangular silver tab onto the upper edge of the original ribbon. The added stroke rises from the canvas and joins the floating mirror surface at a new angle. The moonbeam strikes the main panel, then redirects from the added tab along a lower path. The reflected light reaches the center of the sleepy star-bud.
7–9s: the star-bud glows from the middle and opens into a warm star-lantern while Meo lowers the brush. Bố maintains the locked angle.
9–10s: the star-lantern twinkles softly. Meo says in Vietnamese, with a soft amazed five-year-old voice: “Bố ơi, trăng bật vào sao rồi!” Keep the exact wording; do not translate it.
Physics: the added painted facet changes the reflection angle and redirects the moonbeam to a new target.
Audio: midnight ambience, one brush swish, easel lock click, moonbeam hum, bright star chime, one short dialogue line.
Constraints: exact A-to-B continuity; preserve identity, age, clothing, props and lighting; gentle light only; no broken pieces, extra characters, dangerous motion, cuts or text.</x:v>
      </x:c>
      <x:c r="H13" s="24" t="str">
        <x:v>Suy luận góc phản xạ + dự đoán hình ảnh</x:v>
      </x:c>
      <x:c r="I13" s="24" t="str">
        <x:v>Thỏa mãn từ một chỉnh sửa nhỏ, chính xác</x:v>
      </x:c>
      <x:c r="J13" s="24" t="str">
        <x:v>Cùng mái nửa đêm</x:v>
      </x:c>
      <x:c r="K13" s="24" t="str">
        <x:v>Panel gương bạc nổi; tia phản xạ trên nụ sao; Bố chống giá; Meo gần cạnh nghiêng</x:v>
      </x:c>
      <x:c r="L13" s="24" t="str">
        <x:v>Một facet sơn thêm đổi hướng tia trăng vào nụ sao</x:v>
      </x:c>
      <x:c r="M13" s="24" t="str">
        <x:v>Vẽ một tab bạc tam giác nhỏ rồi hạ cọ</x:v>
      </x:c>
      <x:c r="N13" s="24" t="str">
        <x:v>Xoay, khóa và giữ góc giá</x:v>
      </x:c>
      <x:c r="O13" s="24" t="str">
        <x:v>Nụ sao mở thành đèn sao ấm; kết thúc tích cực</x:v>
      </x:c>
      <x:c r="P13" s="24" t="str">
        <x:v>Cùng phía medium-wide theo tia phản xạ; không cắt cảnh</x:v>
      </x:c>
      <x:c r="Q13" s="24" t="str">
        <x:v>Facet thêm làm đổi góc phản xạ và chuyển hướng ánh trăng</x:v>
      </x:c>
      <x:c r="R13" s="24" t="str">
        <x:v>Meo: “Bố ơi, trăng bật vào sao rồi!”</x:v>
      </x:c>
      <x:c r="S13" s="24" t="str">
        <x:v>Ambience nửa đêm; cọ lướt; khóa giá; trăng ngân; chuông sao; thoại ngắn</x:v>
      </x:c>
      <x:c r="T13" s="24" t="str">
        <x:v>PASS — G-010/G-011/G-012/G-020/G-034/G-036/G-120; exact A→B handoff, Bố indispensable, visible reflection solution.</x:v>
      </x:c>
      <x:c r="U13" s="24" t="str">
        <x:v>PASS — G-002/G-003/G-030/G-031/G-037/G-040/G-050/G-051/G-060/G-070/G-080/G-081/G-090/G-150/G-160/G-161/G-162/G-163/G-164; 317 words; zero at-sign characters.</x:v>
      </x:c>
      <x:c r="V13" s="24" t="str">
        <x:v>AI text audit only; visual/render audit not yet performed. USER APPROVAL pending.</x:v>
      </x:c>
      <x:c r="W13" s="25" t="str">
        <x:v>AI AUDITED</x:v>
      </x:c>
    </x:row>
    <x:row r="14" ht="340" customHeight="1">
      <x:c r="A14" s="57" t="str">
        <x:v>I010-S1-07A</x:v>
      </x:c>
      <x:c r="B14" s="24" t="str">
        <x:v>I-010</x:v>
      </x:c>
      <x:c r="C14" s="24" t="str">
        <x:v>Season 1</x:v>
      </x:c>
      <x:c r="D14" s="24" t="str">
        <x:v>7</x:v>
      </x:c>
      <x:c r="E14" s="24" t="str">
        <x:v>A</x:v>
      </x:c>
      <x:c r="F14" s="24" t="str">
        <x:v>Lăng kính mặt trăng</x:v>
      </x:c>
      <x:c r="G14"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steady medium-wide three-quarter shot on the rooftop terrace, gently tracking from the canvas toward a moonbeam and three sleepy star-buds. No cuts.
Setting: a clear midnight sky with glowing blue-violet paint, one soft moonbeam, and three closed star-buds resting above the roofline.
0–2s: Bố grips the easel base and rotates the canvas into the moonbeam. Meo paints one tall glowing triangular facet and a second short angled facet beside it.
2–7s: the painted shapes lift from the canvas and become floating prism-like sky panels. The moonbeam passes through them and separates into two narrow colored rays. Bố rotates the easel slightly so the rays move across the sky. One ray reaches the first star-bud and the second ray reaches the next, but the third star-bud remains dark because no ray points toward it.
7–9s: Bố stops rotating and braces the easel base. Meo raises the brush near an empty edge beside the prism and studies the two visible outgoing paths.
9–10s: the third star-bud stays closed while the two colored rays glow nearby. End unresolved.
Physics: painted prism facets refract and separate the incoming moonbeam; facet angle determines the outgoing ray directions.
Audio: quiet rooftop ambience, brush swish, easel creak, gentle prism shimmer, faint moonbeam hum. No dialogue.
Constraints: preserve identity, age, clothing, props and midnight lighting; gentle magical rays only; no extra characters, dangerous motion, frightening effects, cuts or text.</x:v>
      </x:c>
      <x:c r="H14" s="24" t="str">
        <x:v>Khúc xạ + suy luận ánh sáng có hướng</x:v>
      </x:c>
      <x:c r="I14" s="24" t="str">
        <x:v>Ngạc nhiên chuyển thành dự đoán hình ảnh cẩn thận</x:v>
      </x:c>
      <x:c r="J14" s="24" t="str">
        <x:v>Mái nửa đêm với sơn xanh-tím, tia trăng và ba nụ sao</x:v>
      </x:c>
      <x:c r="K14" s="24" t="str">
        <x:v>Canvas mới; ba nụ sao đóng; Bố ở giá; Meo cầm sơn lăng kính</x:v>
      </x:c>
      <x:c r="L14" s="24" t="str">
        <x:v>Lăng kính sơn tách tia trăng nhưng chỉ tạo hai tia hữu ích</x:v>
      </x:c>
      <x:c r="M14" s="24" t="str">
        <x:v>Vẽ hai facet nghiêng và quan sát đường tia đi ra</x:v>
      </x:c>
      <x:c r="N14" s="24" t="str">
        <x:v>Xoay và chống giá</x:v>
      </x:c>
      <x:c r="O14" s="24" t="str">
        <x:v>Nụ sao thứ ba còn tối trong khi hai tia sáng gần đó; chưa giải quyết</x:v>
      </x:c>
      <x:c r="P14" s="24" t="str">
        <x:v>Medium-wide three-quarter ổn định theo các tia; không cắt cảnh</x:v>
      </x:c>
      <x:c r="Q14" s="24" t="str">
        <x:v>Các facet lăng kính sơn khúc xạ và tách ánh trăng theo góc</x:v>
      </x:c>
      <x:c r="R14" s="24" t="str">
        <x:v>Không thoại</x:v>
      </x:c>
      <x:c r="S14" s="24" t="str">
        <x:v>Ambience mái; cọ lướt; giá kẽo kẹt; lăng kính lấp lánh; trăng ngân</x:v>
      </x:c>
      <x:c r="T14" s="24" t="str">
        <x:v>PASS — G-010/G-011/G-012/G-020/G-034/G-036/G-120; refraction twist visible, Bố indispensable, child-safe, unresolved Part A.</x:v>
      </x:c>
      <x:c r="U14" s="24" t="str">
        <x:v>PASS — G-002/G-003/G-030/G-031/G-037/G-040/G-050/G-051/G-060/G-070/G-090/G-150/G-160/G-161/G-162/G-163/G-164; 297 words; zero at-sign characters.</x:v>
      </x:c>
      <x:c r="V14" s="24" t="str">
        <x:v>AI text audit only; visual/render audit not yet performed. USER APPROVAL pending.</x:v>
      </x:c>
      <x:c r="W14" s="25" t="str">
        <x:v>AI AUDITED</x:v>
      </x:c>
    </x:row>
    <x:row r="15" ht="340" customHeight="1">
      <x:c r="A15" s="57" t="str">
        <x:v>I010-S1-07B</x:v>
      </x:c>
      <x:c r="B15" s="24" t="str">
        <x:v>I-010</x:v>
      </x:c>
      <x:c r="C15" s="24" t="str">
        <x:v>Season 1</x:v>
      </x:c>
      <x:c r="D15" s="24" t="str">
        <x:v>7</x:v>
      </x:c>
      <x:c r="E15" s="24" t="str">
        <x:v>B</x:v>
      </x:c>
      <x:c r="F15" s="24" t="str">
        <x:v>Lăng kính mặt trăng</x:v>
      </x:c>
      <x:c r="G15"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steady medium-wide continuity shot from a consistent side angle at child-eye-level, following the split moonbeams toward the three star-buds. No cuts.
Setting and opening state: the same midnight rooftop. Two colored rays already leave the floating prism, the first two star-buds glow faintly, the third remains dark, Bố braces the easel, and Meo holds the glowing brush beside an empty prism edge.
0–2s: Bố adjusts the easel a few degrees and locks the base so the existing two rays stay on their star-buds.
2–7s: Meo paints one small extra blue-violet facet beside the prism edge. The new stroke rises and joins the floating prism structure. The incoming moonbeam now separates into three narrow colored rays. Because Bố holds the orientation fixed, the third ray travels toward the remaining dark star-bud while the first two rays keep their paths.
7–9s: all three star-buds open into tiny glowing star-lights as Meo lowers the brush. Bố continues bracing the easel.
9–10s: the three star-lights twinkle in three soft colors. Meo says in Vietnamese, with a delighted five-year-old voice: “Bố ơi, trăng tách thành ba tia rồi!” Keep the exact wording; do not translate it.
Physics: the added painted facet creates a third refraction path while the fixed prism orientation preserves the first two.
Audio: midnight ambience, one brush swish, easel lock click, prism shimmer, three soft star chimes, one short dialogue line.
Constraints: exact A-to-B continuity; preserve identity, age, clothing, props and lighting; gentle light only; no extra characters, dangerous motion, cuts or text.</x:v>
      </x:c>
      <x:c r="H15" s="24" t="str">
        <x:v>Khúc xạ + suy luận ánh sáng có hướng</x:v>
      </x:c>
      <x:c r="I15" s="24" t="str">
        <x:v>Vui khi thêm một facet chính xác</x:v>
      </x:c>
      <x:c r="J15" s="24" t="str">
        <x:v>Cùng mái nửa đêm</x:v>
      </x:c>
      <x:c r="K15" s="24" t="str">
        <x:v>Hai tia màu hoạt động; hai nụ đầu sáng mờ; nụ ba tối; Bố chống giá; Meo ở cạnh lăng kính</x:v>
      </x:c>
      <x:c r="L15" s="24" t="str">
        <x:v>Facet sơn thứ ba tạo tia thứ ba và mở cả ba nụ sao</x:v>
      </x:c>
      <x:c r="M15" s="24" t="str">
        <x:v>Vẽ thêm một facet rồi hạ cọ</x:v>
      </x:c>
      <x:c r="N15" s="24" t="str">
        <x:v>Chỉnh, khóa và chống hướng giá</x:v>
      </x:c>
      <x:c r="O15" s="24" t="str">
        <x:v>Ba star-light lấp lánh trong ba màu dịu; kết thúc tích cực</x:v>
      </x:c>
      <x:c r="P15" s="24" t="str">
        <x:v>Cùng phía medium-wide theo các tia tách; không cắt cảnh</x:v>
      </x:c>
      <x:c r="Q15" s="24" t="str">
        <x:v>Facet lăng kính thêm tạo đường khúc xạ thứ ba trong khi hai đường cũ vẫn căn đúng</x:v>
      </x:c>
      <x:c r="R15" s="24" t="str">
        <x:v>Meo: “Bố ơi, trăng tách thành ba tia rồi!”</x:v>
      </x:c>
      <x:c r="S15" s="24" t="str">
        <x:v>Ambience nửa đêm; cọ lướt; khóa giá; lăng kính lấp lánh; chuông sao; thoại ngắn</x:v>
      </x:c>
      <x:c r="T15" s="24" t="str">
        <x:v>PASS — G-010/G-011/G-012/G-020/G-034/G-036/G-120; exact A→B handoff, Bố indispensable, visible refraction solution.</x:v>
      </x:c>
      <x:c r="U15" s="24" t="str">
        <x:v>PASS — G-002/G-003/G-030/G-031/G-037/G-040/G-050/G-051/G-060/G-070/G-080/G-081/G-090/G-150/G-160/G-161/G-162/G-163/G-164; 317 words; zero at-sign characters.</x:v>
      </x:c>
      <x:c r="V15" s="24" t="str">
        <x:v>AI text audit only; visual/render audit not yet performed. USER APPROVAL pending.</x:v>
      </x:c>
      <x:c r="W15" s="25" t="str">
        <x:v>AI AUDITED</x:v>
      </x:c>
    </x:row>
    <x:row r="16" ht="340" customHeight="1">
      <x:c r="A16" s="57" t="str">
        <x:v>I010-S1-08A</x:v>
      </x:c>
      <x:c r="B16" s="24" t="str">
        <x:v>I-010</x:v>
      </x:c>
      <x:c r="C16" s="24" t="str">
        <x:v>Season 1</x:v>
      </x:c>
      <x:c r="D16" s="24" t="str">
        <x:v>8</x:v>
      </x:c>
      <x:c r="E16" s="24" t="str">
        <x:v>A</x:v>
      </x:c>
      <x:c r="F16" s="24" t="str">
        <x:v>Lưới bắt sao</x:v>
      </x:c>
      <x:c r="G16"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smooth medium-wide side shot on the rooftop terrace, gently tracking the canvas and a drifting stream of tiny star-dust. No cuts.
Setting: a deep blue night sky with glowing silver paint. A soft ribbon of friendly star-dust drifts horizontally above the roofline.
0–2s: Bố grips the easel and turns the canvas to face the drifting star-dust stream. Meo paints one large glowing oval with only a few wide cross-lines inside it.
2–7s: the painted oval and cross-lines lift from the canvas and become a floating luminous mesh. Bố raises the easel angle slightly so the mesh sits directly in the dust path. Several bright dust specks touch the painted lines and stay along the edges, but many smaller specks pass through the large center openings. The stream remains gentle and continues forward.
7–9s: Bố stops moving the easel and braces the frame. Meo raises the brush near the largest opening and studies how much dust slips through.
9–10s: another small cluster passes through the same center gap. End unresolved.
Physics: the painted mesh becomes a real sky net; particles smaller than the open spaces pass through, while particles touching the luminous lines are caught.
Audio: quiet rooftop ambience, brush swishes, easel creak, airy sparkle drift, soft magical hum. No dialogue.
Constraints: preserve identity, age, clothing, props and night lighting; friendly star-dust only; no entanglement, extra characters, frightening motion, cuts or text.</x:v>
      </x:c>
      <x:c r="H16" s="24" t="str">
        <x:v>Mật độ không gian + kích thước khẩu độ</x:v>
      </x:c>
      <x:c r="I16" s="24" t="str">
        <x:v>Tò mò chuyển thành quan sát quy luật</x:v>
      </x:c>
      <x:c r="J16" s="24" t="str">
        <x:v>Mái xanh đậm với sơn bạc và star-dust đang trôi</x:v>
      </x:c>
      <x:c r="K16" s="24" t="str">
        <x:v>Canvas mới; dòng star-dust; Bố xoay giá; Meo cầm cọ bạc</x:v>
      </x:c>
      <x:c r="L16" s="24" t="str">
        <x:v>Lưới sơn thưa để nhiều star-dust lọt qua các lỗ lớn</x:v>
      </x:c>
      <x:c r="M16" s="24" t="str">
        <x:v>Vẽ oval với ít đường chéo rồi quan sát khe</x:v>
      </x:c>
      <x:c r="N16" s="24" t="str">
        <x:v>Xoay, nâng và chống giá</x:v>
      </x:c>
      <x:c r="O16" s="24" t="str">
        <x:v>Một cụm khác lọt qua khe giữa; chưa giải quyết</x:v>
      </x:c>
      <x:c r="P16" s="24" t="str">
        <x:v>Medium-wide ngang mượt theo bụi và lưới; không cắt cảnh</x:v>
      </x:c>
      <x:c r="Q16" s="24" t="str">
        <x:v>Hạt nhỏ hơn lỗ lưới đi xuyên; tiếp xúc đường sơn sẽ giữ lại</x:v>
      </x:c>
      <x:c r="R16" s="24" t="str">
        <x:v>Không thoại</x:v>
      </x:c>
      <x:c r="S16" s="24" t="str">
        <x:v>Ambience mái; cọ lướt; giá kẽo kẹt; bụi lấp lánh; tiếng phép thuật</x:v>
      </x:c>
      <x:c r="T16" s="24" t="str">
        <x:v>PASS — G-010/G-011/G-012/G-020/G-034/G-036/G-120; aperture-size twist visible, Bố indispensable, child-safe, unresolved Part A.</x:v>
      </x:c>
      <x:c r="U16" s="24" t="str">
        <x:v>PASS — G-002/G-003/G-030/G-031/G-037/G-040/G-050/G-051/G-060/G-070/G-090/G-150/G-160/G-161/G-162/G-163/G-164; 297 words; zero at-sign characters.</x:v>
      </x:c>
      <x:c r="V16" s="24" t="str">
        <x:v>AI text audit only; visual/render audit not yet performed. USER APPROVAL pending.</x:v>
      </x:c>
      <x:c r="W16" s="25" t="str">
        <x:v>AI AUDITED</x:v>
      </x:c>
    </x:row>
    <x:row r="17" ht="340" customHeight="1">
      <x:c r="A17" s="57" t="str">
        <x:v>I010-S1-08B</x:v>
      </x:c>
      <x:c r="B17" s="24" t="str">
        <x:v>I-010</x:v>
      </x:c>
      <x:c r="C17" s="24" t="str">
        <x:v>Season 1</x:v>
      </x:c>
      <x:c r="D17" s="24" t="str">
        <x:v>8</x:v>
      </x:c>
      <x:c r="E17" s="24" t="str">
        <x:v>B</x:v>
      </x:c>
      <x:c r="F17" s="24" t="str">
        <x:v>Lưới bắt sao</x:v>
      </x:c>
      <x:c r="G17"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smooth medium-wide continuity shot from a consistent side angle at child-eye-level, following the star-dust stream into the painted mesh. No cuts.
Setting and opening state: the same rooftop. The glowing oval net remains in the sky with one large center opening, a gentle star-dust stream approaches it, Bố braces the easel, and Meo holds the glowing silver brush near the sparse mesh.
0–2s: Bố lowers the easel slightly and locks the frame so the net aligns squarely with the incoming dust.
2–7s: Meo paints several thin cross-lines through the large center opening. Each new line rises from the canvas and merges into the floating net, visibly reducing the mesh openings. The next wave of star-dust reaches the tighter net. More specks touch the luminous lines and collect inside instead of passing through.
7–9s: the captured specks gather into three tiny glowing star-lights while Bố keeps the easel fixed. Meo lowers the brush.
9–10s: the three star-lights twinkle inside the mesh, then float gently upward together. Meo says in Vietnamese, with a delighted five-year-old voice: “Bố ơi, lưới dày bắt được sao rồi!” Keep the exact wording; do not translate it.
Physics: adding painted cross-lines reduces aperture size, increasing how much star-dust is captured by the luminous mesh.
Audio: rooftop ambience, one brush swish, easel lock click, sparkling drift, three light star chimes, one short dialogue line.
Constraints: exact A-to-B continuity; preserve identity, age, clothing, props and lighting; no entanglement, extra characters, dangerous motion, cuts or text.</x:v>
      </x:c>
      <x:c r="H17" s="24" t="str">
        <x:v>Mật độ không gian + kích thước khẩu độ</x:v>
      </x:c>
      <x:c r="I17" s="24" t="str">
        <x:v>Tự hào khi cải thiện cấu trúc bằng bổ sung nhỏ</x:v>
      </x:c>
      <x:c r="J17" s="24" t="str">
        <x:v>Cùng mái xanh đậm</x:v>
      </x:c>
      <x:c r="K17" s="24" t="str">
        <x:v>Lưới sáng thưa với lỗ giữa lớn; star-dust tới; Bố chống giá; Meo gần lưới</x:v>
      </x:c>
      <x:c r="L17" s="24" t="str">
        <x:v>Thêm các đường chéo làm lỗ nhỏ hơn và giữ đủ star-dust để tạo ba star-light</x:v>
      </x:c>
      <x:c r="M17" s="24" t="str">
        <x:v>Vẽ vài đường chéo mỏng rồi hạ cọ</x:v>
      </x:c>
      <x:c r="N17" s="24" t="str">
        <x:v>Hạ, khóa và giữ ổn định giá</x:v>
      </x:c>
      <x:c r="O17" s="24" t="str">
        <x:v>Bụi bị giữ tạo thành ba star-light lấp lánh bay lên; kết thúc tích cực</x:v>
      </x:c>
      <x:c r="P17" s="24" t="str">
        <x:v>Cùng phía medium-wide theo bụi vào lưới; không cắt cảnh</x:v>
      </x:c>
      <x:c r="Q17" s="24" t="str">
        <x:v>Thêm đường sơn làm giảm kích thước lỗ và tăng khả năng giữ hạt</x:v>
      </x:c>
      <x:c r="R17" s="24" t="str">
        <x:v>Meo: “Bố ơi, lưới dày bắt được sao rồi!”</x:v>
      </x:c>
      <x:c r="S17" s="24" t="str">
        <x:v>Ambience mái; cọ lướt; khóa giá; bụi lấp lánh; chuông sao; thoại ngắn</x:v>
      </x:c>
      <x:c r="T17" s="24" t="str">
        <x:v>PASS — G-010/G-011/G-012/G-020/G-034/G-036/G-120; exact A→B handoff, Bố indispensable, mesh-density solution through observation.</x:v>
      </x:c>
      <x:c r="U17" s="24" t="str">
        <x:v>PASS — G-002/G-003/G-030/G-031/G-037/G-040/G-050/G-051/G-060/G-070/G-080/G-081/G-090/G-150/G-160/G-161/G-162/G-163/G-164; 312 words; zero at-sign characters.</x:v>
      </x:c>
      <x:c r="V17" s="24" t="str">
        <x:v>AI text audit only; visual/render audit not yet performed. USER APPROVAL pending.</x:v>
      </x:c>
      <x:c r="W17" s="25" t="str">
        <x:v>AI AUDITED</x:v>
      </x:c>
    </x:row>
    <x:row r="18" ht="340" customHeight="1">
      <x:c r="A18" s="57" t="str">
        <x:v>I010-S1-09A</x:v>
      </x:c>
      <x:c r="B18" s="24" t="str">
        <x:v>I-010</x:v>
      </x:c>
      <x:c r="C18" s="24" t="str">
        <x:v>Season 1</x:v>
      </x:c>
      <x:c r="D18" s="24" t="str">
        <x:v>9</x:v>
      </x:c>
      <x:c r="E18" s="24" t="str">
        <x:v>A</x:v>
      </x:c>
      <x:c r="F18" s="24" t="str">
        <x:v>Hai màu gặp nhau</x:v>
      </x:c>
      <x:c r="G18"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graceful medium-wide side shot on the rooftop terrace, slowly tracking from the canvas toward two overlapping painted sky ribbons. No cuts.
Setting: a pre-dawn indigo rooftop with glowing blue and warm-gold paint. One pale star-seed floats above the roofline beside an unlit lavender star-flower.
0–2s: Bố grips the easel and tilts the canvas toward the floating star-seed. Meo paints one broad blue ribbon and one broad gold ribbon crossing each other.
2–7s: both strokes lift from the canvas and become translucent luminous sky ribbons. The blue ribbon passes beneath the star-seed and the gold ribbon passes above it. Where the two ribbons overlap, the light becomes a new soft green-gold color, but Bố tilts the easel too far and the overlap zone slides away from the unlit star-flower. The star-seed follows the brighter overlap briefly, then stops before reaching the flower.
7–9s: Bố lowers the easel and braces the hinge. Meo raises the brush and studies the colored overlap patch.
9–10s: the mixed-color patch glows between the star-seed and the flower but does not touch either one. End unresolved.
Physics: translucent painted colors combine only where their sky surfaces overlap; changing canvas angle moves the overlap zone without changing either ribbon’s shape.
Audio: quiet pre-dawn ambience, two brush swishes, easel creak, soft color shimmer, faint star-seed chime. No dialogue.
Constraints: preserve identity, age, clothing, props and lighting; gentle light only; no extra characters, dangerous motion, cuts or text.</x:v>
      </x:c>
      <x:c r="H18" s="24" t="str">
        <x:v>Pha màu + suy luận vùng chồng</x:v>
      </x:c>
      <x:c r="I18" s="24" t="str">
        <x:v>Tò mò chuyển thành thử nghiệm hình ảnh</x:v>
      </x:c>
      <x:c r="J18" s="24" t="str">
        <x:v>Mái trước bình minh với sơn trong xanh và vàng, hạt sao và hoa sao lavender</x:v>
      </x:c>
      <x:c r="K18" s="24" t="str">
        <x:v>Canvas mới; hạt sao nổi; hoa chưa sáng; Bố giữ giá; Meo có sơn xanh/vàng</x:v>
      </x:c>
      <x:c r="L18" s="24" t="str">
        <x:v>Hai dải sơn trong chồng thành màu mới nhưng vùng chồng chưa tới hoa</x:v>
      </x:c>
      <x:c r="M18" s="24" t="str">
        <x:v>Vẽ dải xanh và vàng cắt nhau rồi quan sát vùng màu pha</x:v>
      </x:c>
      <x:c r="N18" s="24" t="str">
        <x:v>Nghiêng, hạ và chống giá</x:v>
      </x:c>
      <x:c r="O18" s="24" t="str">
        <x:v>Mảng màu pha nằm giữa hạt sao và hoa; chưa giải quyết</x:v>
      </x:c>
      <x:c r="P18" s="24" t="str">
        <x:v>Medium-wide ngang thanh thoát theo dải chồng; không cắt cảnh</x:v>
      </x:c>
      <x:c r="Q18" s="24" t="str">
        <x:v>Màu sơn trong chỉ pha nơi các bề mặt trời chồng nhau; nghiêng làm vùng chồng dịch</x:v>
      </x:c>
      <x:c r="R18" s="24" t="str">
        <x:v>Không thoại</x:v>
      </x:c>
      <x:c r="S18" s="24" t="str">
        <x:v>Ambience trước bình minh; hai nét cọ; giá kẽo kẹt; màu lấp lánh; chuông hạt sao</x:v>
      </x:c>
      <x:c r="T18" s="24" t="str">
        <x:v>PASS — G-010/G-011/G-012/G-020/G-034/G-036/G-120; color-overlap twist visible, Bố indispensable, child-safe, unresolved Part A.</x:v>
      </x:c>
      <x:c r="U18" s="24" t="str">
        <x:v>PASS — G-002/G-003/G-030/G-031/G-037/G-040/G-050/G-051/G-060/G-070/G-090/G-150/G-160/G-161/G-162/G-163/G-164; 304 words; zero at-sign characters.</x:v>
      </x:c>
      <x:c r="V18" s="24" t="str">
        <x:v>AI text audit only; visual/render audit not yet performed. USER APPROVAL pending.</x:v>
      </x:c>
      <x:c r="W18" s="25" t="str">
        <x:v>AI AUDITED</x:v>
      </x:c>
    </x:row>
    <x:row r="19" ht="340" customHeight="1">
      <x:c r="A19" s="57" t="str">
        <x:v>I010-S1-09B</x:v>
      </x:c>
      <x:c r="B19" s="24" t="str">
        <x:v>I-010</x:v>
      </x:c>
      <x:c r="C19" s="24" t="str">
        <x:v>Season 1</x:v>
      </x:c>
      <x:c r="D19" s="24" t="str">
        <x:v>9</x:v>
      </x:c>
      <x:c r="E19" s="24" t="str">
        <x:v>B</x:v>
      </x:c>
      <x:c r="F19" s="24" t="str">
        <x:v>Hai màu gặp nhau</x:v>
      </x:c>
      <x:c r="G19"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graceful medium-wide continuity shot from a consistent side angle at child-eye-level, tracking the overlapping ribbons toward the star-flower. No cuts.
Setting and opening state: the same pre-dawn rooftop. Blue and gold translucent ribbons cross in the sky, their mixed-color overlap sits between the pale star-seed and the unlit lavender star-flower, Bố braces the easel, and Meo holds the glowing brush near the crossing point.
0–2s: Bố rotates the easel a few degrees and locks the hinge, moving the existing overlap zone closer to the star-flower.
2–7s: Meo paints one short curved gold extension into the crossing area. The new stroke rises and merges with the gold ribbon, widening the mixed-color patch until it reaches both the star-seed and the flower. The star-seed glides along the shared glowing area and settles at the flower center while Bố holds the orientation steady.
7–9s: the lavender star-flower opens and changes to a warm green-gold glow that matches the overlap color. Meo lowers the brush.
9–10s: the flower twinkles. Meo says in Vietnamese, with a delighted five-year-old voice: “Bố ơi, hai màu gặp nhau rồi!” Keep the exact wording; do not translate it.
Physics: overlapping translucent painted colors combine visually in the shared area; extending one ribbon widens that mixed-color region.
Audio: pre-dawn ambience, one brush swish, easel lock click, color shimmer, soft flower chime, one short dialogue line.
Constraints: exact A-to-B continuity; preserve identity, age, clothing, props and lighting; gentle light only; no extra characters, dangerous motion, cuts or text.</x:v>
      </x:c>
      <x:c r="H19" s="24" t="str">
        <x:v>Pha màu + suy luận vùng chồng</x:v>
      </x:c>
      <x:c r="I19" s="24" t="str">
        <x:v>Vui khi thấy hai ý tưởng thành một kết quả mới</x:v>
      </x:c>
      <x:c r="J19" s="24" t="str">
        <x:v>Cùng mái trước bình minh</x:v>
      </x:c>
      <x:c r="K19" s="24" t="str">
        <x:v>Dải xanh/vàng cắt nhau; mảng pha giữa hạt sao và hoa; Bố chống giá; Meo gần giao điểm</x:v>
      </x:c>
      <x:c r="L19" s="24" t="str">
        <x:v>Mở rộng vùng chồng nối hạt sao tới hoa và làm hoa nở bằng màu pha</x:v>
      </x:c>
      <x:c r="M19" s="24" t="str">
        <x:v>Thêm một đoạn vàng cong ngắn rồi hạ cọ</x:v>
      </x:c>
      <x:c r="N19" s="24" t="str">
        <x:v>Xoay, khóa và giữ hướng giá</x:v>
      </x:c>
      <x:c r="O19" s="24" t="str">
        <x:v>Hoa sao lavender mở trong ánh xanh-vàng ấm; kết thúc tích cực</x:v>
      </x:c>
      <x:c r="P19" s="24" t="str">
        <x:v>Cùng phía medium-wide theo vùng chồng tới hoa; không cắt cảnh</x:v>
      </x:c>
      <x:c r="Q19" s="24" t="str">
        <x:v>Kéo dài một dải trong làm rộng vùng màu pha chung</x:v>
      </x:c>
      <x:c r="R19" s="24" t="str">
        <x:v>Meo: “Bố ơi, hai màu gặp nhau rồi!”</x:v>
      </x:c>
      <x:c r="S19" s="24" t="str">
        <x:v>Ambience trước bình minh; cọ lướt; khóa giá; màu lấp lánh; chuông hoa; thoại ngắn</x:v>
      </x:c>
      <x:c r="T19" s="24" t="str">
        <x:v>PASS — G-010/G-011/G-012/G-020/G-034/G-036/G-120; exact A→B handoff, Bố indispensable, color-mixing solution through visual planning.</x:v>
      </x:c>
      <x:c r="U19" s="24" t="str">
        <x:v>PASS — G-002/G-003/G-030/G-031/G-037/G-040/G-050/G-051/G-060/G-070/G-080/G-081/G-090/G-150/G-160/G-161/G-162/G-163/G-164; 313 words; zero at-sign characters.</x:v>
      </x:c>
      <x:c r="V19" s="24" t="str">
        <x:v>AI text audit only; visual/render audit not yet performed. USER APPROVAL pending.</x:v>
      </x:c>
      <x:c r="W19" s="25" t="str">
        <x:v>AI AUDITED</x:v>
      </x:c>
    </x:row>
    <x:row r="20" ht="340" customHeight="1">
      <x:c r="A20" s="57" t="str">
        <x:v>I010-S1-10A</x:v>
      </x:c>
      <x:c r="B20" s="24" t="str">
        <x:v>I-010</x:v>
      </x:c>
      <x:c r="C20" s="24" t="str">
        <x:v>Season 1</x:v>
      </x:c>
      <x:c r="D20" s="24" t="str">
        <x:v>10</x:v>
      </x:c>
      <x:c r="E20" s="24" t="str">
        <x:v>A</x:v>
      </x:c>
      <x:c r="F20" s="24" t="str">
        <x:v>Khoảng trống dành cho mặt trăng</x:v>
      </x:c>
      <x:c r="G20"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calm medium-wide side shot on the rooftop terrace, slowly pulling back to include Meo, Bố, the canvas, the moon and a nearly complete painted sky mural. No cuts.
Setting: the last deep-blue minutes before dawn. The canvas is filled with soft luminous strokes across the mural: curves, panes, ladders and small star shapes. A bright real moon hangs beyond the easel.
0–2s: Bố grips the easel and tilts the crowded canvas toward the moon. Meo adds one final broad pale-blue stroke across an empty circular area near the mural center.
2–7s: the new stroke rises and becomes another glowing sky surface, completing the mural visually but blocking the real moonlight that had been shining through that empty circle. The surrounding painted structures remain beautiful, yet their glow becomes flatter without the natural moonbeam. Bố rotates the easel slightly, searching for another opening, but every painted section still covers the moon.
7–9s: Bố stops rotating and braces the frame. Meo lowers the brush and notices that the only missing thing is the real moonlight behind the painted surface.
9–10s: the mural glows softly while the moon remains hidden behind it. End unresolved.
Physics: painted sky surfaces block direct moonlight when fully covering an area; unpainted negative space allows the real light to pass through.
Audio: calm pre-dawn ambience, one broad brush swish, easel creak, soft mural shimmer. No dialogue.
Constraints: preserve identity, age, clothing, props and lighting; gentle magical light only; no extra characters, dangerous motion, cuts or text.</x:v>
      </x:c>
      <x:c r="H20" s="24" t="str">
        <x:v>Không gian âm + tiết chế trong lập kế hoạch hình ảnh</x:v>
      </x:c>
      <x:c r="I20" s="24" t="str">
        <x:v>Xung lực hoàn thiện lắng thành bình tĩnh trân trọng</x:v>
      </x:c>
      <x:c r="J20" s="24" t="str">
        <x:v>Mái cuối trước bình minh với mural Season phát sáng gần hoàn chỉnh và trăng thật</x:v>
      </x:c>
      <x:c r="K20" s="24" t="str">
        <x:v>Mural gồm các cấu trúc đã vẽ; một vòng trống ở tâm; Bố nghiêng giá; Meo cầm cọ xanh nhạt</x:v>
      </x:c>
      <x:c r="L20" s="24" t="str">
        <x:v>Nét rộng cuối lấp vòng trống nhưng chặn ánh trăng thật và làm mural phẳng đi</x:v>
      </x:c>
      <x:c r="M20" s="24" t="str">
        <x:v>Vẽ một nét rộng cuối rồi dừng và nhận ra thứ vừa biến mất</x:v>
      </x:c>
      <x:c r="N20" s="24" t="str">
        <x:v>Nghiêng, tìm khe khác rồi chống giá</x:v>
      </x:c>
      <x:c r="O20" s="24" t="str">
        <x:v>Mural sáng nhưng trăng thật còn bị che; chưa giải quyết</x:v>
      </x:c>
      <x:c r="P20" s="24" t="str">
        <x:v>Medium-wide ngang bình tĩnh, pull-back chậm; không cắt cảnh</x:v>
      </x:c>
      <x:c r="Q20" s="24" t="str">
        <x:v>Bề mặt trời đã sơn chặn ánh trăng trực tiếp; khoảng âm chưa sơn cho ánh thật đi qua</x:v>
      </x:c>
      <x:c r="R20" s="24" t="str">
        <x:v>Không thoại</x:v>
      </x:c>
      <x:c r="S20" s="24" t="str">
        <x:v>Ambience trước bình minh; nét cọ rộng; giá kẽo kẹt; mural lấp lánh nhẹ</x:v>
      </x:c>
      <x:c r="T20" s="24" t="str">
        <x:v>PASS — G-010/G-011/G-012/G-020/G-034/G-036/G-120; negative-space twist visible, Bố indispensable, child-safe, unresolved Part A and clear Season setup.</x:v>
      </x:c>
      <x:c r="U20" s="24" t="str">
        <x:v>PASS — G-002/G-003/G-030/G-031/G-037/G-040/G-050/G-051/G-060/G-070/G-090/G-150/G-160/G-161/G-162/G-163/G-164; 314 words; zero at-sign characters.</x:v>
      </x:c>
      <x:c r="V20" s="24" t="str">
        <x:v>AI text audit only; visual/render audit not yet performed. USER APPROVAL pending.</x:v>
      </x:c>
      <x:c r="W20" s="25" t="str">
        <x:v>AI AUDITED</x:v>
      </x:c>
    </x:row>
    <x:row r="21" ht="340" customHeight="1">
      <x:c r="A21" s="58" t="str">
        <x:v>I010-S1-10B</x:v>
      </x:c>
      <x:c r="B21" s="27" t="str">
        <x:v>I-010</x:v>
      </x:c>
      <x:c r="C21" s="27" t="str">
        <x:v>Season 1</x:v>
      </x:c>
      <x:c r="D21" s="27" t="str">
        <x:v>10</x:v>
      </x:c>
      <x:c r="E21" s="27" t="str">
        <x:v>B</x:v>
      </x:c>
      <x:c r="F21" s="27" t="str">
        <x:v>Khoảng trống dành cho mặt trăng</x:v>
      </x:c>
      <x:c r="G21" s="27" t="str">
        <x:v>Cartoon Style. Generate a 10-second, 16:9 landscape child-friendly fantasy video in Google Flow using Gemini Omni Flash, Ingredients to Video. Use the approved Meo and Bố references exactly; do not redesign them. Meo is five, with the approved face, twin low pigtails, yellow top and white tiered skirt. Bố is her Asian father with short black hair, small black-rimmed glasses and approved clothing.
Camera: one calm medium-wide continuity shot from a consistent side angle at child-eye-level, slowly pulling back as moonlight returns through the mural. No cuts.
Setting and opening state: the same pre-dawn rooftop. The luminous mural covers the real moon, the last pale-blue painted surface fills the circular center, Bố braces the easel, and Meo holds a soft clean sponge beside the canvas while the brush rests lowered.
0–2s: Bố rotates the easel until the hidden moon sits directly behind the painted center and locks the frame.
2–7s: Meo gently lifts the fresh pale-blue paint from one small circular area with the soft sponge instead of adding another stroke. The matching sky surface fades away, leaving an unpainted opening. Real moonlight passes through the circle and illuminates the older painted structures from behind. Bố holds the easel steady while the mural gains depth and sparkle without adding anything.
7–9s: Meo stops wiping and simply watches. The star-lights from the mural settle around the moonlit opening like a quiet constellation.
9–10s: dawn begins at the horizon. Meo says in Vietnamese, with a calm happy five-year-old voice: “Bố ơi, chỗ trống cũng thành tranh.” Keep the exact wording; do not translate it.
Physics: removing fresh paint restores negative space; real moonlight passes only through the unpainted opening and softly backlights the surrounding painted structures.
Audio: quiet pre-dawn ambience, soft sponge sound, easel lock click, warm moonlit shimmer, one short dialogue line.
Constraints: exact A-to-B continuity; preserve identity, age, clothing, props and lighting; no extra characters, dangerous motion, cuts or text.</x:v>
      </x:c>
      <x:c r="H21" s="27" t="str">
        <x:v>Không gian âm + tiết chế trong lập kế hoạch hình ảnh</x:v>
      </x:c>
      <x:c r="I21" s="27" t="str">
        <x:v>Tin tưởng ấm áp và biết khi nào nên dừng</x:v>
      </x:c>
      <x:c r="J21" s="27" t="str">
        <x:v>Cùng mái trước bình minh</x:v>
      </x:c>
      <x:c r="K21" s="27" t="str">
        <x:v>Tâm đã sơn che trăng; Bố chống giá; Meo cầm sponge mềm, hạ cọ</x:v>
      </x:c>
      <x:c r="L21" s="27" t="str">
        <x:v>Gỡ một mảng sơn mới khôi phục khoảng âm và cho ánh trăng thật hoàn tất mural</x:v>
      </x:c>
      <x:c r="M21" s="27" t="str">
        <x:v>Nhẹ nhàng nhấc sơn mới khỏi một vòng nhỏ, rồi dừng sáng tạo và quan sát</x:v>
      </x:c>
      <x:c r="N21" s="27" t="str">
        <x:v>Căn, khóa và giữ giá với trăng sau khoảng mở</x:v>
      </x:c>
      <x:c r="O21" s="27" t="str">
        <x:v>Ánh trăng chiếu ngược mural; star-light nằm quanh khoảng mở khi bình minh bắt đầu; kết season</x:v>
      </x:c>
      <x:c r="P21" s="27" t="str">
        <x:v>Cùng phía medium-wide pull-back bình tĩnh; không cắt cảnh</x:v>
      </x:c>
      <x:c r="Q21" s="27" t="str">
        <x:v>Gỡ sơn mới khôi phục khoảng âm; trăng đi qua khe và chiếu sáng các cấu trúc từ sau</x:v>
      </x:c>
      <x:c r="R21" s="27" t="str">
        <x:v>Meo: “Bố ơi, chỗ trống cũng thành tranh.”</x:v>
      </x:c>
      <x:c r="S21" s="27" t="str">
        <x:v>Ambience trước bình minh; sponge nhẹ; khóa giá; lấp lánh ấm; thoại ngắn</x:v>
      </x:c>
      <x:c r="T21" s="27" t="str">
        <x:v>PASS — G-010/G-011/G-012/G-020/G-034/G-036/G-120; exact A→B handoff, Bố indispensable, resolution through restraint and observation; clear Season emotional close.</x:v>
      </x:c>
      <x:c r="U21" s="27" t="str">
        <x:v>PASS — G-002/G-003/G-030/G-031/G-037/G-040/G-050/G-051/G-060/G-070/G-080/G-081/G-090/G-150/G-160/G-161/G-162/G-163/G-164; 320 words; zero at-sign characters.</x:v>
      </x:c>
      <x:c r="V21" s="27" t="str">
        <x:v>AI text audit only; visual/render audit not yet performed. USER APPROVAL pending.</x:v>
      </x:c>
      <x:c r="W21" s="28" t="str">
        <x:v>AI AUDITED</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8" hidden="0" customWidth="1"/>
    <x:col min="2" max="2" width="12" hidden="0" customWidth="1"/>
    <x:col min="3" max="3" width="32" hidden="0" customWidth="1"/>
    <x:col min="4" max="4" width="10" hidden="0" customWidth="1"/>
    <x:col min="5" max="5" width="10" hidden="0" customWidth="1"/>
    <x:col min="6" max="6" width="10" hidden="0" customWidth="1"/>
    <x:col min="7" max="7" width="74" hidden="0" customWidth="1"/>
    <x:col min="8" max="8" width="38" hidden="0" customWidth="1"/>
    <x:col min="9" max="9" width="82" hidden="0" customWidth="1"/>
  </x:cols>
  <x:sheetData>
    <x:row r="1">
      <x:c r="A1" s="37" t="str">
        <x:v>file_name</x:v>
      </x:c>
      <x:c r="B1" s="56" t="str">
        <x:v>person</x:v>
      </x:c>
      <x:c r="C1" s="56" t="str">
        <x:v>role</x:v>
      </x:c>
      <x:c r="D1" s="56" t="str">
        <x:v>priority</x:v>
      </x:c>
      <x:c r="E1" s="56" t="str">
        <x:v>width</x:v>
      </x:c>
      <x:c r="F1" s="56" t="str">
        <x:v>height</x:v>
      </x:c>
      <x:c r="G1" s="56" t="str">
        <x:v>sha256</x:v>
      </x:c>
      <x:c r="H1" s="56" t="str">
        <x:v>source_original</x:v>
      </x:c>
      <x:c r="I1" s="38" t="str">
        <x:v>usage_note</x:v>
      </x:c>
    </x:row>
    <x:row r="2" ht="62" customHeight="1">
      <x:c r="A2" s="57" t="str">
        <x:v>P08-S10-MEO-PRIMARY.REFERENCE.png</x:v>
      </x:c>
      <x:c r="B2" s="24" t="str">
        <x:v>Meo</x:v>
      </x:c>
      <x:c r="C2" s="24" t="str">
        <x:v>primary_face_hair_identity_only</x:v>
      </x:c>
      <x:c r="D2" s="24" t="n">
        <x:v>1</x:v>
      </x:c>
      <x:c r="E2" s="24" t="n">
        <x:v>1122</x:v>
      </x:c>
      <x:c r="F2" s="24" t="n">
        <x:v>1402</x:v>
      </x:c>
      <x:c r="G2" s="24" t="str">
        <x:v>490EE15F72FF06D97BC0DA09DA50C9AB9390EF2F2AA97221F62F36DAE16C5026</x:v>
      </x:c>
      <x:c r="H2" s="24" t="str">
        <x:v>Input content/Meo2.png</x:v>
      </x:c>
      <x:c r="I2" s="25" t="str">
        <x:v>Identity only; ignore all visible reference clothing and accessories. New written tab wardrobe is authoritative.</x:v>
      </x:c>
    </x:row>
    <x:row r="3" ht="62" customHeight="1">
      <x:c r="A3" s="57" t="str">
        <x:v>P08-S10-MEO-SECONDARY.REFERENCE.png</x:v>
      </x:c>
      <x:c r="B3" s="24" t="str">
        <x:v>Meo</x:v>
      </x:c>
      <x:c r="C3" s="24" t="str">
        <x:v>secondary_face_identity_only</x:v>
      </x:c>
      <x:c r="D3" s="24" t="n">
        <x:v>2</x:v>
      </x:c>
      <x:c r="E3" s="24" t="n">
        <x:v>1024</x:v>
      </x:c>
      <x:c r="F3" s="24" t="n">
        <x:v>1536</x:v>
      </x:c>
      <x:c r="G3" s="24" t="str">
        <x:v>FC0E0E4FD7D6924DDDDDE03D82CF19DC68DAEF1C14DC18972F9DE781C6CCC77D</x:v>
      </x:c>
      <x:c r="H3" s="24" t="str">
        <x:v>Input content/Meo1.png</x:v>
      </x:c>
      <x:c r="I3" s="25" t="str">
        <x:v>Identity only; ignore all visible reference clothing and accessories. New written tab wardrobe is authoritative.</x:v>
      </x:c>
    </x:row>
    <x:row r="4" ht="62" customHeight="1">
      <x:c r="A4" s="57" t="str">
        <x:v>P08-S10-BO-FRONT.REFERENCE.jpg</x:v>
      </x:c>
      <x:c r="B4" s="24" t="str">
        <x:v>Bố</x:v>
      </x:c>
      <x:c r="C4" s="24" t="str">
        <x:v>primary_front_face_glasses_identity_only</x:v>
      </x:c>
      <x:c r="D4" s="24" t="n">
        <x:v>1</x:v>
      </x:c>
      <x:c r="E4" s="24" t="n">
        <x:v>556</x:v>
      </x:c>
      <x:c r="F4" s="24" t="n">
        <x:v>989</x:v>
      </x:c>
      <x:c r="G4" s="24" t="str">
        <x:v>55DC3A0675770C35466B42B8D2D2C6F2D65259E60CDA1762A8BD3312BBBF0624</x:v>
      </x:c>
      <x:c r="H4" s="24" t="str">
        <x:v>Input content/Duc1.jpg</x:v>
      </x:c>
      <x:c r="I4" s="25" t="str">
        <x:v>Identity only; ignore all visible reference clothing and accessories. New written tab wardrobe is authoritative.</x:v>
      </x:c>
    </x:row>
    <x:row r="5" ht="62" customHeight="1">
      <x:c r="A5" s="58" t="str">
        <x:v>P08-S10-BO-SIDE.REFERENCE.jpg</x:v>
      </x:c>
      <x:c r="B5" s="27" t="str">
        <x:v>Bố</x:v>
      </x:c>
      <x:c r="C5" s="27" t="str">
        <x:v>side_face_hair_glasses_identity_only</x:v>
      </x:c>
      <x:c r="D5" s="27" t="n">
        <x:v>2</x:v>
      </x:c>
      <x:c r="E5" s="27" t="n">
        <x:v>556</x:v>
      </x:c>
      <x:c r="F5" s="27" t="n">
        <x:v>989</x:v>
      </x:c>
      <x:c r="G5" s="27" t="str">
        <x:v>708022A6BF3078F2B53742C5840C693837C1705AE41606BF41FA5BE0F941F67A</x:v>
      </x:c>
      <x:c r="H5" s="27" t="str">
        <x:v>Input content/Duc2.jpg</x:v>
      </x:c>
      <x:c r="I5" s="28" t="str">
        <x:v>Identity only; ignore all visible reference clothing and accessories. New written tab wardrobe is authoritative.</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76" hidden="0" customWidth="1"/>
    <x:col min="3" max="3" width="76" hidden="0" customWidth="1"/>
  </x:cols>
  <x:sheetData>
    <x:row r="1">
      <x:c r="A1" s="5" t="str">
        <x:v>Pilot 8 S10 Package QC</x:v>
      </x:c>
      <x:c r="B1" s="5"/>
      <x:c r="C1" s="5"/>
    </x:row>
    <x:row r="3">
      <x:c r="A3" s="74" t="str">
        <x:v>Check</x:v>
      </x:c>
      <x:c r="B3" s="75" t="str">
        <x:v>Expected</x:v>
      </x:c>
      <x:c r="C3" s="76" t="str">
        <x:v>Actual / Formula</x:v>
      </x:c>
    </x:row>
    <x:row r="4">
      <x:c r="A4" s="77" t="str">
        <x:v>Total queue jobs</x:v>
      </x:c>
      <x:c r="B4" s="78" t="n">
        <x:v>66</x:v>
      </x:c>
      <x:c r="C4" s="79" t="n">
        <x:f>COUNTA('jobs'!$B$2:$B$67)</x:f>
        <x:v>66</x:v>
      </x:c>
    </x:row>
    <x:row r="5">
      <x:c r="A5" s="77" t="str">
        <x:v>Character concepts</x:v>
      </x:c>
      <x:c r="B5" s="78" t="n">
        <x:v>6</x:v>
      </x:c>
      <x:c r="C5" s="79" t="n">
        <x:f>COUNTIF('manifest'!$C$2:$C$67,"CHARACTER_CONCEPT")</x:f>
        <x:v>6</x:v>
      </x:c>
    </x:row>
    <x:row r="6">
      <x:c r="A6" s="77" t="str">
        <x:v>Storyboard jobs</x:v>
      </x:c>
      <x:c r="B6" s="78" t="n">
        <x:v>60</x:v>
      </x:c>
      <x:c r="C6" s="79" t="n">
        <x:f>COUNTIF('manifest'!$C$2:$C$67,"STORYBOARD")</x:f>
        <x:v>60</x:v>
      </x:c>
    </x:row>
    <x:row r="7">
      <x:c r="A7" s="77" t="str">
        <x:v>Source videos</x:v>
      </x:c>
      <x:c r="B7" s="78" t="n">
        <x:v>20</x:v>
      </x:c>
      <x:c r="C7" s="79" t="n">
        <x:f>COUNTA('source_map'!$A$2:$A$21)</x:f>
        <x:v>20</x:v>
      </x:c>
    </x:row>
    <x:row r="8">
      <x:c r="A8" s="77" t="str">
        <x:v>Frames per source</x:v>
      </x:c>
      <x:c r="B8" s="78" t="n">
        <x:v>3</x:v>
      </x:c>
      <x:c r="C8" s="79" t="str">
        <x:v>All source IDs validated</x:v>
      </x:c>
    </x:row>
    <x:row r="9">
      <x:c r="A9" s="77" t="str">
        <x:v>Canonical references</x:v>
      </x:c>
      <x:c r="B9" s="78" t="n">
        <x:v>4</x:v>
      </x:c>
      <x:c r="C9" s="79" t="n">
        <x:f>COUNTA('references'!$A$2:$A$5)</x:f>
        <x:v>4</x:v>
      </x:c>
    </x:row>
    <x:row r="10">
      <x:c r="A10" s="77" t="str">
        <x:v>Manifest PASS</x:v>
      </x:c>
      <x:c r="B10" s="78" t="n">
        <x:v>66</x:v>
      </x:c>
      <x:c r="C10" s="79" t="n">
        <x:f>COUNTIF('manifest'!$N$2:$N$67,"PASS")</x:f>
        <x:v>66</x:v>
      </x:c>
    </x:row>
    <x:row r="11">
      <x:c r="A11" s="80" t="str">
        <x:v>Source SHA-256</x:v>
      </x:c>
      <x:c r="B11" s="81" t="str">
        <x:v>AE8F2EEA50AE3752449B6955D32970F1751696E9B483FE33EC90DE7A588F9F99</x:v>
      </x:c>
      <x:c r="C11" s="82" t="str">
        <x:v>AE8F2EEA50AE3752449B6955D32970F1751696E9B483FE33EC90DE7A588F9F99</x:v>
      </x:c>
    </x:row>
  </x:sheetData>
  <x:mergeCells>
    <x:mergeCell ref="A1:C1"/>
  </x:mergeCells>
  <x:pageMargins left="0.7" right="0.7" top="0.75" bottom="0.75" header="0.3" footer="0.3"/>
</x:worksheet>
</file>