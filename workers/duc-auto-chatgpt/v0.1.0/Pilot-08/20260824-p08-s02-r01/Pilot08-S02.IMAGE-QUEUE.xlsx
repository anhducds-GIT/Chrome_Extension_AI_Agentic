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2.xml" ContentType="application/vnd.openxmlformats-officedocument.spreadsheetml.comments+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606367ec8ab04785" /></Relationships>
</file>

<file path=xl/workbook.xml><?xml version="1.0" encoding="utf-8"?>
<x:workbook xmlns:x="http://schemas.openxmlformats.org/spreadsheetml/2006/main">
  <x:sheets>
    <x:sheet xmlns:r="http://schemas.openxmlformats.org/officeDocument/2006/relationships" name="jobs" sheetId="1" r:id="R7b1aa7335cfc4d21"/>
    <x:sheet xmlns:r="http://schemas.openxmlformats.org/officeDocument/2006/relationships" name="config" sheetId="2" r:id="Rdbadf9f8e5384499"/>
    <x:sheet xmlns:r="http://schemas.openxmlformats.org/officeDocument/2006/relationships" name="README" sheetId="3" r:id="Rf93c34f8e8a54064"/>
    <x:sheet xmlns:r="http://schemas.openxmlformats.org/officeDocument/2006/relationships" name="manifest" sheetId="4" r:id="R61fb202fbdfc440e"/>
    <x:sheet xmlns:r="http://schemas.openxmlformats.org/officeDocument/2006/relationships" name="source_map" sheetId="5" r:id="R18790b687f354e0c"/>
    <x:sheet xmlns:r="http://schemas.openxmlformats.org/officeDocument/2006/relationships" name="references" sheetId="6" r:id="Ra1dbfd872ef9419e"/>
    <x:sheet xmlns:r="http://schemas.openxmlformats.org/officeDocument/2006/relationships" name="QC" sheetId="7" r:id="R915290a2d7474c7e"/>
  </x:sheets>
</x:workbook>
</file>

<file path=xl/comments1.xml><?xml version="1.0" encoding="utf-8"?>
<x:comments xmlns:x="http://schemas.openxmlformats.org/spreadsheetml/2006/main">
  <x:authors>
    <x:author>Claude</x:author>
  </x:authors>
  <x:commentList>
    <x:comment ref="A1" authorId="0">
      <x:text>
        <x:r>
          <x:t>CHỈ ĐỂ ANH DỄ ĐẾM/GỌI. Extension không đọc cột này -- đánh số sẵn, không ảnh hưởng gì đến việc chạy.</x:t>
        </x:r>
      </x:text>
    </x:comment>
    <x:comment ref="B1" authorId="0">
      <x:text>
        <x:r>
          <x:t>BẮT BUỘC. Số thứ tự hoặc tên duy nhất cho mỗi prompt (vd: 1, 2, 3... -- có thể gõ trùng số ở cột STT bên trái cho dễ nhớ). Không được trùng nhau.</x:t>
        </x:r>
      </x:text>
    </x:comment>
    <x:comment ref="C1" authorId="0">
      <x:text>
        <x:r>
          <x:t>BẮT BUỘC. Nội dung prompt bạn muốn AI vẽ. Paste thẳng vào đây.</x:t>
        </x:r>
      </x:text>
    </x:comment>
    <x:comment ref="D1" authorId="0">
      <x:text>
        <x:r>
          <x:t>KHÔNG bắt buộc. Chỉ điền nếu prompt này cần ảnh tham chiếu. Gõ đúng tên file ảnh (vd: Duc1.jpg); nhiều ảnh cách nhau bởi dấu | (vd: Duc1.jpg|Meo1.png). Để trống nếu không dùng ảnh tham chiếu.</x:t>
        </x:r>
      </x:text>
    </x:comment>
  </x:commentList>
</x:comments>
</file>

<file path=xl/comments2.xml><?xml version="1.0" encoding="utf-8"?>
<x:comments xmlns:x="http://schemas.openxmlformats.org/spreadsheetml/2006/main">
  <x:authors>
    <x:author>Claude</x:author>
  </x:authors>
  <x:commentList>
    <x:comment ref="A1" authorId="0">
      <x:text>
        <x:r>
          <x:t>KHÔNG bắt buộc. Để trống cả sheet này thì extension tự dùng mặc định (lưu vào Downloads/Duc Auto ChatGPT, giữ cả 2 bản nếu trùng tên...). Chỉ thêm dòng vào đây nếu bạn muốn ĐỔI một cài đặt cụ thể, vd: output_folder, delay_min_sec, collision_policy. Xem DAC_XLSX_RUN_PLAN_V1.md để biết danh sách key hỗ trợ.</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5">
    <x:font>
      <x:sz val="11"/>
      <x:color theme="1"/>
      <x:name val="Calibri"/>
    </x:font>
    <x:font>
      <x:b/>
      <x:sz val="11"/>
    </x:font>
    <x:font>
      <x:b/>
      <x:sz val="11"/>
      <x:color rgb="FFFFFFFF"/>
      <x:name val="Calibri"/>
    </x:font>
    <x:font>
      <x:b/>
      <x:sz val="11"/>
      <x:color rgb="FF17365D"/>
      <x:name val="Calibri"/>
    </x:font>
    <x:font>
      <x:b/>
      <x:sz val="11"/>
      <x:color theme="1"/>
      <x:name val="Calibri"/>
    </x:font>
  </x:fonts>
  <x:fills count="7">
    <x:fill>
      <x:patternFill patternType="none"/>
    </x:fill>
    <x:fill>
      <x:patternFill patternType="gray125"/>
    </x:fill>
    <x:fill>
      <x:patternFill patternType="solid">
        <x:fgColor rgb="FFDDEBF7"/>
      </x:patternFill>
    </x:fill>
    <x:fill>
      <x:patternFill patternType="solid">
        <x:fgColor rgb="FFFFFF99"/>
      </x:patternFill>
    </x:fill>
    <x:fill>
      <x:patternFill patternType="solid">
        <x:fgColor rgb="FFE7E6E6"/>
      </x:patternFill>
    </x:fill>
    <x:fill>
      <x:patternFill patternType="solid">
        <x:fgColor rgb="FF17365D"/>
      </x:patternFill>
    </x:fill>
    <x:fill>
      <x:patternFill patternType="solid">
        <x:fgColor rgb="FFD9EAF7"/>
      </x:patternFill>
    </x:fill>
  </x:fills>
  <x:borders count="22">
    <x:border/>
    <x:border>
      <x:left style="thin">
        <x:color rgb="FF9FBAD0"/>
      </x:left>
      <x:top style="thin">
        <x:color rgb="FF9FBAD0"/>
      </x:top>
      <x:bottom style="thin">
        <x:color rgb="FF9FBAD0"/>
      </x:bottom>
    </x:border>
    <x:border>
      <x:top style="thin">
        <x:color rgb="FF9FBAD0"/>
      </x:top>
      <x:bottom style="thin">
        <x:color rgb="FF9FBAD0"/>
      </x:bottom>
    </x:border>
    <x:border>
      <x:right style="thin">
        <x:color rgb="FF9FBAD0"/>
      </x:right>
      <x:top style="thin">
        <x:color rgb="FF9FBAD0"/>
      </x:top>
      <x:bottom style="thin">
        <x:color rgb="FF9FBAD0"/>
      </x:bottom>
    </x:border>
    <x:border>
      <x:right style="thin">
        <x:color rgb="FFDCE6F1"/>
      </x:right>
      <x:bottom style="thin">
        <x:color rgb="FFDCE6F1"/>
      </x:bottom>
    </x:border>
    <x:border>
      <x:left style="thin">
        <x:color rgb="FFDCE6F1"/>
      </x:left>
      <x:right style="thin">
        <x:color rgb="FFDCE6F1"/>
      </x:right>
      <x:bottom style="thin">
        <x:color rgb="FFDCE6F1"/>
      </x:bottom>
    </x:border>
    <x:border>
      <x:left style="thin">
        <x:color rgb="FFDCE6F1"/>
      </x:left>
      <x:bottom style="thin">
        <x:color rgb="FFDCE6F1"/>
      </x:bottom>
    </x:border>
    <x:border>
      <x:right style="thin">
        <x:color rgb="FFDCE6F1"/>
      </x:right>
      <x:top style="thin">
        <x:color rgb="FFDCE6F1"/>
      </x:top>
      <x:bottom style="thin">
        <x:color rgb="FFDCE6F1"/>
      </x:bottom>
    </x:border>
    <x:border>
      <x:left style="thin">
        <x:color rgb="FFDCE6F1"/>
      </x:left>
      <x:right style="thin">
        <x:color rgb="FFDCE6F1"/>
      </x:right>
      <x:top style="thin">
        <x:color rgb="FFDCE6F1"/>
      </x:top>
      <x:bottom style="thin">
        <x:color rgb="FFDCE6F1"/>
      </x:bottom>
    </x:border>
    <x:border>
      <x:left style="thin">
        <x:color rgb="FFDCE6F1"/>
      </x:left>
      <x:top style="thin">
        <x:color rgb="FFDCE6F1"/>
      </x:top>
      <x:bottom style="thin">
        <x:color rgb="FFDCE6F1"/>
      </x:bottom>
    </x:border>
    <x:border>
      <x:right style="thin">
        <x:color rgb="FFDCE6F1"/>
      </x:right>
      <x:top style="thin">
        <x:color rgb="FFDCE6F1"/>
      </x:top>
    </x:border>
    <x:border>
      <x:left style="thin">
        <x:color rgb="FFDCE6F1"/>
      </x:left>
      <x:right style="thin">
        <x:color rgb="FFDCE6F1"/>
      </x:right>
      <x:top style="thin">
        <x:color rgb="FFDCE6F1"/>
      </x:top>
    </x:border>
    <x:border>
      <x:left style="thin">
        <x:color rgb="FFDCE6F1"/>
      </x:left>
      <x:top style="thin">
        <x:color rgb="FFDCE6F1"/>
      </x:top>
    </x:border>
    <x:border>
      <x:right style="thin">
        <x:color rgb="FFB8CCE4"/>
      </x:right>
      <x:bottom style="thin">
        <x:color rgb="FFB8CCE4"/>
      </x:bottom>
    </x:border>
    <x:border>
      <x:left style="thin">
        <x:color rgb="FFB8CCE4"/>
      </x:left>
      <x:bottom style="thin">
        <x:color rgb="FFB8CCE4"/>
      </x:bottom>
    </x:border>
    <x:border>
      <x:right style="thin">
        <x:color rgb="FFB8CCE4"/>
      </x:right>
      <x:top style="thin">
        <x:color rgb="FFB8CCE4"/>
      </x:top>
      <x:bottom style="thin">
        <x:color rgb="FFB8CCE4"/>
      </x:bottom>
    </x:border>
    <x:border>
      <x:left style="thin">
        <x:color rgb="FFB8CCE4"/>
      </x:left>
      <x:top style="thin">
        <x:color rgb="FFB8CCE4"/>
      </x:top>
      <x:bottom style="thin">
        <x:color rgb="FFB8CCE4"/>
      </x:bottom>
    </x:border>
    <x:border>
      <x:right style="thin">
        <x:color rgb="FFB8CCE4"/>
      </x:right>
      <x:top style="thin">
        <x:color rgb="FFB8CCE4"/>
      </x:top>
    </x:border>
    <x:border>
      <x:left style="thin">
        <x:color rgb="FFB8CCE4"/>
      </x:left>
      <x:top style="thin">
        <x:color rgb="FFB8CCE4"/>
      </x:top>
    </x:border>
    <x:border>
      <x:left style="thin">
        <x:color rgb="FFB8CCE4"/>
      </x:left>
      <x:right style="thin">
        <x:color rgb="FFB8CCE4"/>
      </x:right>
      <x:bottom style="thin">
        <x:color rgb="FFB8CCE4"/>
      </x:bottom>
    </x:border>
    <x:border>
      <x:left style="thin">
        <x:color rgb="FFB8CCE4"/>
      </x:left>
      <x:right style="thin">
        <x:color rgb="FFB8CCE4"/>
      </x:right>
      <x:top style="thin">
        <x:color rgb="FFB8CCE4"/>
      </x:top>
      <x:bottom style="thin">
        <x:color rgb="FFB8CCE4"/>
      </x:bottom>
    </x:border>
    <x:border>
      <x:left style="thin">
        <x:color rgb="FFB8CCE4"/>
      </x:left>
      <x:right style="thin">
        <x:color rgb="FFB8CCE4"/>
      </x:right>
      <x:top style="thin">
        <x:color rgb="FFB8CCE4"/>
      </x:top>
    </x:border>
  </x:borders>
  <x:cellStyleXfs count="1">
    <x:xf numFmtId="0" fontId="0" fillId="0" borderId="0"/>
  </x:cellStyleXfs>
  <x:cellXfs count="83">
    <x:xf numFmtId="0" fontId="0" fillId="0" borderId="0" xfId="0"/>
    <x:xf numFmtId="0" fontId="1" fillId="2" borderId="0" xfId="0"/>
    <x:xf numFmtId="0" fontId="1" fillId="3" borderId="0" xfId="0"/>
    <x:xf numFmtId="0" fontId="1" fillId="4" borderId="0" xfId="0"/>
    <x:xf numFmtId="0" fontId="0" fillId="5" borderId="0" xfId="0" applyNumberFormat="1" applyFont="1" applyFill="1" applyBorder="1"/>
    <x:xf numFmtId="0" fontId="2" fillId="5" borderId="0" xfId="0" applyNumberFormat="1" applyFont="1" applyFill="1" applyBorder="1"/>
    <x:xf numFmtId="0" fontId="2" fillId="5" borderId="1" xfId="0" applyNumberFormat="1" applyFont="1" applyFill="1" applyBorder="1"/>
    <x:xf numFmtId="0" fontId="2" fillId="5" borderId="2" xfId="0" applyNumberFormat="1" applyFont="1" applyFill="1" applyBorder="1"/>
    <x:xf numFmtId="0" fontId="2" fillId="5" borderId="3" xfId="0" applyNumberFormat="1" applyFont="1" applyFill="1" applyBorder="1"/>
    <x:xf numFmtId="0" fontId="2" fillId="5" borderId="1" xfId="0" applyNumberFormat="1" applyFont="1" applyFill="1" applyBorder="1" applyAlignment="1">
      <x:alignment horizontal="center"/>
    </x:xf>
    <x:xf numFmtId="0" fontId="2" fillId="5" borderId="2" xfId="0" applyNumberFormat="1" applyFont="1" applyFill="1" applyBorder="1" applyAlignment="1">
      <x:alignment horizontal="center"/>
    </x:xf>
    <x:xf numFmtId="0" fontId="2" fillId="5" borderId="3" xfId="0" applyNumberFormat="1" applyFont="1" applyFill="1" applyBorder="1" applyAlignment="1">
      <x:alignment horizontal="center"/>
    </x:xf>
    <x:xf numFmtId="0" fontId="2" fillId="5" borderId="1" xfId="0" applyNumberFormat="1" applyFont="1" applyFill="1" applyBorder="1" applyAlignment="1">
      <x:alignment horizontal="center" vertical="center"/>
    </x:xf>
    <x:xf numFmtId="0" fontId="2" fillId="5" borderId="2" xfId="0" applyNumberFormat="1" applyFont="1" applyFill="1" applyBorder="1" applyAlignment="1">
      <x:alignment horizontal="center" vertical="center"/>
    </x:xf>
    <x:xf numFmtId="0" fontId="2" fillId="5" borderId="3" xfId="0" applyNumberFormat="1" applyFont="1" applyFill="1" applyBorder="1" applyAlignment="1">
      <x:alignment horizontal="center" vertical="center"/>
    </x:xf>
    <x:xf numFmtId="200" fontId="0" fillId="0" borderId="0" xfId="0" applyNumberFormat="1" applyFont="1" applyFill="1" applyBorder="1"/>
    <x:xf numFmtId="200" fontId="0" fillId="0" borderId="0" xfId="0" applyNumberFormat="1" applyFont="1" applyFill="1" applyBorder="1" applyAlignment="1">
      <x:alignment horizontal="center"/>
    </x:xf>
    <x:xf numFmtId="200" fontId="0" fillId="0" borderId="0" xfId="0" applyNumberFormat="1" applyFont="1" applyFill="1" applyBorder="1" applyAlignment="1">
      <x:alignment horizontal="center"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4" xfId="0" applyNumberFormat="1" applyFont="1" applyFill="1" applyBorder="1" applyAlignment="1">
      <x:alignment horizontal="center" vertical="top"/>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200" fontId="0" fillId="0" borderId="7" xfId="0" applyNumberFormat="1" applyFont="1" applyFill="1" applyBorder="1" applyAlignment="1">
      <x:alignment horizontal="center" vertical="top"/>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200" fontId="0" fillId="0" borderId="10" xfId="0" applyNumberFormat="1" applyFont="1" applyFill="1" applyBorder="1" applyAlignment="1">
      <x:alignment horizontal="center" vertical="top"/>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2" fillId="5" borderId="0" xfId="0" applyNumberFormat="1" applyFont="1" applyFill="1" applyBorder="1" applyAlignment="1">
      <x:alignment horizontal="center"/>
    </x:xf>
    <x:xf numFmtId="0" fontId="3" fillId="0" borderId="0" xfId="0" applyNumberFormat="1" applyFont="1" applyFill="1" applyBorder="1"/>
    <x:xf numFmtId="0" fontId="2" fillId="5" borderId="4" xfId="0" applyNumberFormat="1" applyFont="1" applyFill="1" applyBorder="1" applyAlignment="1">
      <x:alignment horizontal="center"/>
    </x:xf>
    <x:xf numFmtId="0" fontId="2" fillId="5" borderId="6" xfId="0" applyNumberFormat="1" applyFont="1" applyFill="1" applyBorder="1" applyAlignment="1">
      <x:alignment horizontal="center"/>
    </x:xf>
    <x:xf numFmtId="0" fontId="3" fillId="0" borderId="7" xfId="0" applyNumberFormat="1" applyFont="1" applyFill="1" applyBorder="1"/>
    <x:xf numFmtId="0" fontId="0" fillId="0" borderId="9" xfId="0" applyNumberFormat="1" applyFont="1" applyFill="1" applyBorder="1"/>
    <x:xf numFmtId="0" fontId="3" fillId="0" borderId="10" xfId="0" applyNumberFormat="1" applyFont="1" applyFill="1" applyBorder="1"/>
    <x:xf numFmtId="0" fontId="0" fillId="0" borderId="12" xfId="0" applyNumberFormat="1" applyFont="1" applyFill="1" applyBorder="1"/>
    <x:xf numFmtId="0" fontId="2" fillId="5" borderId="4" xfId="0" applyNumberFormat="1" applyFont="1" applyFill="1" applyBorder="1" applyAlignment="1">
      <x:alignment horizontal="center" wrapText="1"/>
    </x:xf>
    <x:xf numFmtId="0" fontId="2" fillId="5" borderId="6" xfId="0" applyNumberFormat="1" applyFont="1" applyFill="1" applyBorder="1" applyAlignment="1">
      <x:alignment horizontal="center" wrapText="1"/>
    </x:xf>
    <x:xf numFmtId="0" fontId="3" fillId="0" borderId="7" xfId="0" applyNumberFormat="1" applyFont="1" applyFill="1" applyBorder="1" applyAlignment="1">
      <x:alignment wrapText="1"/>
    </x:xf>
    <x:xf numFmtId="0" fontId="0" fillId="0" borderId="9" xfId="0" applyNumberFormat="1" applyFont="1" applyFill="1" applyBorder="1" applyAlignment="1">
      <x:alignment wrapText="1"/>
    </x:xf>
    <x:xf numFmtId="0" fontId="3" fillId="0" borderId="10" xfId="0" applyNumberFormat="1" applyFont="1" applyFill="1" applyBorder="1" applyAlignment="1">
      <x:alignment wrapText="1"/>
    </x:xf>
    <x:xf numFmtId="0" fontId="0" fillId="0" borderId="12" xfId="0" applyNumberFormat="1" applyFont="1" applyFill="1" applyBorder="1" applyAlignment="1">
      <x:alignment wrapText="1"/>
    </x:xf>
    <x:xf numFmtId="0" fontId="2" fillId="5" borderId="0" xfId="0" applyNumberFormat="1" applyFont="1" applyFill="1" applyBorder="1" applyAlignment="1">
      <x:alignment vertical="center"/>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wrapText="1"/>
    </x:xf>
    <x:xf numFmtId="0" fontId="3" fillId="6" borderId="0" xfId="0" applyNumberFormat="1" applyFont="1" applyFill="1" applyBorder="1" applyAlignment="1">
      <x:alignment vertical="top" wrapText="1"/>
    </x:xf>
    <x:xf numFmtId="0" fontId="3" fillId="6"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3" fillId="6"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3" fillId="6"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5" xfId="0" applyNumberFormat="1" applyFont="1" applyFill="1" applyBorder="1" applyAlignment="1">
      <x:alignment horizontal="center" wrapText="1"/>
    </x:xf>
    <x:xf numFmtId="0" fontId="0" fillId="0" borderId="7"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2" fillId="5" borderId="0" xfId="0" applyNumberFormat="1" applyFont="1" applyFill="1" applyBorder="1" applyAlignment="1">
      <x:alignment horizontal="center" vertical="center" wrapText="1"/>
    </x:xf>
    <x:xf numFmtId="0" fontId="2" fillId="5" borderId="4" xfId="0" applyNumberFormat="1" applyFont="1" applyFill="1" applyBorder="1" applyAlignment="1">
      <x:alignment horizontal="center" vertical="center" wrapText="1"/>
    </x:xf>
    <x:xf numFmtId="0" fontId="2" fillId="5" borderId="5" xfId="0" applyNumberFormat="1" applyFont="1" applyFill="1" applyBorder="1" applyAlignment="1">
      <x:alignment horizontal="center" vertical="center" wrapText="1"/>
    </x:xf>
    <x:xf numFmtId="0" fontId="2" fillId="5" borderId="6" xfId="0" applyNumberFormat="1" applyFont="1" applyFill="1" applyBorder="1" applyAlignment="1">
      <x:alignment horizontal="center" vertical="center" wrapText="1"/>
    </x:xf>
    <x:xf numFmtId="0" fontId="3" fillId="6" borderId="0" xfId="0" applyNumberFormat="1" applyFont="1" applyFill="1" applyBorder="1" applyAlignment="1">
      <x:alignment horizontal="center"/>
    </x:xf>
    <x:xf numFmtId="0" fontId="4" fillId="0" borderId="0" xfId="0" applyNumberFormat="1" applyFont="1" applyFill="1" applyBorder="1"/>
    <x:xf numFmtId="0" fontId="3" fillId="6" borderId="13" xfId="0" applyNumberFormat="1" applyFont="1" applyFill="1" applyBorder="1" applyAlignment="1">
      <x:alignment horizontal="center"/>
    </x:xf>
    <x:xf numFmtId="0" fontId="3" fillId="6" borderId="19" xfId="0" applyNumberFormat="1" applyFont="1" applyFill="1" applyBorder="1" applyAlignment="1">
      <x:alignment horizontal="center"/>
    </x:xf>
    <x:xf numFmtId="0" fontId="3" fillId="6" borderId="14" xfId="0" applyNumberFormat="1" applyFont="1" applyFill="1" applyBorder="1" applyAlignment="1">
      <x:alignment horizontal="center"/>
    </x:xf>
    <x:xf numFmtId="0" fontId="4" fillId="0" borderId="15" xfId="0" applyNumberFormat="1" applyFont="1" applyFill="1" applyBorder="1"/>
    <x:xf numFmtId="0" fontId="0" fillId="0" borderId="20" xfId="0" applyNumberFormat="1" applyFont="1" applyFill="1" applyBorder="1"/>
    <x:xf numFmtId="0" fontId="0" fillId="0" borderId="16" xfId="0" applyNumberFormat="1" applyFont="1" applyFill="1" applyBorder="1"/>
    <x:xf numFmtId="0" fontId="4" fillId="0" borderId="17" xfId="0" applyNumberFormat="1" applyFont="1" applyFill="1" applyBorder="1"/>
    <x:xf numFmtId="0" fontId="0" fillId="0" borderId="21" xfId="0" applyNumberFormat="1" applyFont="1" applyFill="1" applyBorder="1"/>
    <x:xf numFmtId="0" fontId="0" fillId="0" borderId="18" xfId="0" applyNumberFormat="1" applyFont="1" applyFill="1" applyBorder="1"/>
    <x:xf numFmtId="0" fontId="3" fillId="6" borderId="13" xfId="0" applyNumberFormat="1" applyFont="1" applyFill="1" applyBorder="1" applyAlignment="1">
      <x:alignment horizontal="center" wrapText="1"/>
    </x:xf>
    <x:xf numFmtId="0" fontId="3" fillId="6" borderId="19" xfId="0" applyNumberFormat="1" applyFont="1" applyFill="1" applyBorder="1" applyAlignment="1">
      <x:alignment horizontal="center" wrapText="1"/>
    </x:xf>
    <x:xf numFmtId="0" fontId="3" fillId="6" borderId="14" xfId="0" applyNumberFormat="1" applyFont="1" applyFill="1" applyBorder="1" applyAlignment="1">
      <x:alignment horizontal="center" wrapText="1"/>
    </x:xf>
    <x:xf numFmtId="0" fontId="4" fillId="0" borderId="15"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16" xfId="0" applyNumberFormat="1" applyFont="1" applyFill="1" applyBorder="1" applyAlignment="1">
      <x:alignment wrapText="1"/>
    </x:xf>
    <x:xf numFmtId="0" fontId="4" fillId="0" borderId="17"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18"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bb004d265644ed1" /><Relationship Type="http://schemas.openxmlformats.org/officeDocument/2006/relationships/theme" Target="/xl/theme/theme1.xml" Id="R8f843a7a326d430b" /><Relationship Type="http://schemas.openxmlformats.org/officeDocument/2006/relationships/sharedStrings" Target="/xl/sharedStrings.xml" Id="R214523c7cf8f4e40" /><Relationship Type="http://schemas.openxmlformats.org/officeDocument/2006/relationships/worksheet" Target="/xl/worksheets/sheet1.xml" Id="R7b1aa7335cfc4d21" /><Relationship Type="http://schemas.openxmlformats.org/officeDocument/2006/relationships/worksheet" Target="/xl/worksheets/sheet2.xml" Id="Rdbadf9f8e5384499" /><Relationship Type="http://schemas.openxmlformats.org/officeDocument/2006/relationships/worksheet" Target="/xl/worksheets/sheet3.xml" Id="Rf93c34f8e8a54064" /><Relationship Type="http://schemas.openxmlformats.org/officeDocument/2006/relationships/worksheet" Target="/xl/worksheets/sheet4.xml" Id="R61fb202fbdfc440e" /><Relationship Type="http://schemas.openxmlformats.org/officeDocument/2006/relationships/worksheet" Target="/xl/worksheets/sheet5.xml" Id="R18790b687f354e0c" /><Relationship Type="http://schemas.openxmlformats.org/officeDocument/2006/relationships/worksheet" Target="/xl/worksheets/sheet6.xml" Id="Ra1dbfd872ef9419e" /><Relationship Type="http://schemas.openxmlformats.org/officeDocument/2006/relationships/worksheet" Target="/xl/worksheets/sheet7.xml" Id="R915290a2d7474c7e" /><Relationship Type="http://schemas.microsoft.com/office/2017/10/relationships/person" Target="/xl/persons/person.xml" Id="R550ca57a382f4b2f" /></Relationships>
</file>

<file path=xl/persons/person.xml><?xml version="1.0" encoding="utf-8"?>
<xltc:personList xmlns:xltc="http://schemas.microsoft.com/office/spreadsheetml/2018/threadedcomments">
  <xltc:person displayName="Claude" id="{D3302DDB-CD9A-0F26-C107-E6A099C24251}"/>
  <xltc:person displayName="Claude" id="{D160C36F-C5FD-632B-0969-4C881E76D930}"/>
</xltc:personList>
</file>

<file path=xl/tables/table1.xml><?xml version="1.0" encoding="utf-8"?>
<x:table xmlns:x="http://schemas.openxmlformats.org/spreadsheetml/2006/main" id="1" name="S02JobsTable" displayName="S02JobsTable" ref="A1:D67" headerRowCount="1" totalsRowCount="0" totalsRowShown="0">
  <x:tableColumns count="4">
    <x:tableColumn id="1" name="stt"/>
    <x:tableColumn id="2" name="id"/>
    <x:tableColumn id="3" name="prompt"/>
    <x:tableColumn id="4" name="reference_images"/>
  </x:tableColumns>
  <x:tableStyleInfo name="TableStyleMedium2" showFirstColumn="0" showLastColumn="0" showRowStripes="1" showColumnStripes="0"/>
</x:table>
</file>

<file path=xl/tables/table2.xml><?xml version="1.0" encoding="utf-8"?>
<x:table xmlns:x="http://schemas.openxmlformats.org/spreadsheetml/2006/main" id="2" name="S02ConfigTable" displayName="S02ConfigTable" ref="A1:B18" headerRowCount="1" totalsRowCount="0" totalsRowShown="0">
  <x:tableColumns count="2">
    <x:tableColumn id="1" name="key"/>
    <x:tableColumn id="2" name="value"/>
  </x:tableColumns>
  <x:tableStyleInfo name="TableStyleMedium2" showFirstColumn="0" showLastColumn="0" showRowStripes="1" showColumnStripes="0"/>
</x:table>
</file>

<file path=xl/tables/table3.xml><?xml version="1.0" encoding="utf-8"?>
<x:table xmlns:x="http://schemas.openxmlformats.org/spreadsheetml/2006/main" id="3" name="S02ManifestTable" displayName="S02ManifestTable" ref="A1:N67" headerRowCount="1" totalsRowCount="0" totalsRowShown="0">
  <x:tableColumns count="14">
    <x:tableColumn id="1" name="sequence"/>
    <x:tableColumn id="2" name="job_id"/>
    <x:tableColumn id="3" name="phase"/>
    <x:tableColumn id="4" name="source_video_id"/>
    <x:tableColumn id="5" name="story_number"/>
    <x:tableColumn id="6" name="part"/>
    <x:tableColumn id="7" name="title"/>
    <x:tableColumn id="8" name="frame"/>
    <x:tableColumn id="9" name="frame_time"/>
    <x:tableColumn id="10" name="timing_schema"/>
    <x:tableColumn id="11" name="purpose"/>
    <x:tableColumn id="12" name="reference_images"/>
    <x:tableColumn id="13" name="expected_output_stem"/>
    <x:tableColumn id="14" name="qc_statu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9a000ba589b44c23" /><Relationship Type="http://schemas.openxmlformats.org/officeDocument/2006/relationships/vmlDrawing" Target="/xl/drawings/vmldrawing.vml" Id="R3bca19075d9641c1" /><Relationship Type="http://schemas.openxmlformats.org/officeDocument/2006/relationships/table" Target="/xl/tables/table1.xml" Id="Rda8d1447cd134c0f" /></Relationships>
</file>

<file path=xl/worksheets/_rels/sheet2.xml.rels>&#65279;<?xml version="1.0" encoding="utf-8"?><Relationships xmlns="http://schemas.openxmlformats.org/package/2006/relationships"><Relationship Type="http://schemas.openxmlformats.org/officeDocument/2006/relationships/comments" Target="/xl/comments2.xml" Id="R6b933d8a4dd649d1" /><Relationship Type="http://schemas.openxmlformats.org/officeDocument/2006/relationships/vmlDrawing" Target="/xl/drawings/vmldrawing2.vml" Id="Rd01e3629c53b440a" /><Relationship Type="http://schemas.openxmlformats.org/officeDocument/2006/relationships/table" Target="/xl/tables/table2.xml" Id="R3778efa1a69541b8" /></Relationships>
</file>

<file path=xl/worksheets/_rels/sheet4.xml.rels>&#65279;<?xml version="1.0" encoding="utf-8"?><Relationships xmlns="http://schemas.openxmlformats.org/package/2006/relationships"><Relationship Type="http://schemas.openxmlformats.org/officeDocument/2006/relationships/table" Target="/xl/tables/table3.xml" Id="R41c0758038664c68"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8" hidden="0" customWidth="1"/>
    <x:col min="2" max="2" width="42" hidden="0" customWidth="1"/>
    <x:col min="3" max="3" width="160" hidden="0" customWidth="1"/>
    <x:col min="4" max="4" width="56" hidden="0" customWidth="1"/>
  </x:cols>
  <x:sheetData>
    <x:row r="1" ht="28" customHeight="1">
      <x:c r="A1" s="12" t="str">
        <x:v>stt</x:v>
      </x:c>
      <x:c r="B1" s="13" t="str">
        <x:v>id</x:v>
      </x:c>
      <x:c r="C1" s="13" t="str">
        <x:v>prompt</x:v>
      </x:c>
      <x:c r="D1" s="14" t="str">
        <x:v>reference_images</x:v>
      </x:c>
    </x:row>
    <x:row r="2" ht="360" customHeight="1">
      <x:c r="A2" s="20" t="n">
        <x:v>1</x:v>
      </x:c>
      <x:c r="B2" s="21" t="str">
        <x:v>P08-S02-C01-MEO-FRONT</x:v>
      </x:c>
      <x:c r="C2" s="21" t="str">
        <x:v>Create a production-ready character concept image for Meo in Pilot 8 S1_02 Magic Inventor.
Polished warm 3D cartoon workshop fantasy with rounded wooden forms, tactile paper-and-foam materials, soft magical pulses, cinematic yet child-safe lighting, identity-faithful faces, and no photorealism.
Complete identity and new wardrobe lock: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Use P08-S02-MEO-PRIMARY.REFERENCE.png as primary face/hair identity and P08-S02-MEO-SECONDARY.REFERENCE.png only as secondary identity confirmation. Ignore every garment, shoe, color and accessory in both references.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Composition: one full-body standing Meo, exact straight-on front view, full feet visible, arms relaxed slightly away from torso, neutral balanced pose, friendly expression, centered with generous white margin.
Pure white seamless studio background, neutral softbox light, one soft ground shadow, no environment and no prop. Make every garment construction and shoe fastening fully readable.
Create exactly one image only: no collage, split screen, multi-panel layout, turnaround sheet, labels, captions, text, logo, watermark, duplicated person, unapproved extra character, or video.</x:v>
      </x:c>
      <x:c r="D2" s="22" t="str">
        <x:v>P08-S02-MEO-PRIMARY.REFERENCE.png|P08-S02-MEO-SECONDARY.REFERENCE.png</x:v>
      </x:c>
    </x:row>
    <x:row r="3" ht="360" customHeight="1">
      <x:c r="A3" s="23" t="n">
        <x:v>2</x:v>
      </x:c>
      <x:c r="B3" s="24" t="str">
        <x:v>P08-S02-C02-MEO-SIDE</x:v>
      </x:c>
      <x:c r="C3" s="24" t="str">
        <x:v>Create a production-ready character concept image for Meo in Pilot 8 S1_02 Magic Inventor.
Polished warm 3D cartoon workshop fantasy with rounded wooden forms, tactile paper-and-foam materials, soft magical pulses, cinematic yet child-safe lighting, identity-faithful faces, and no photorealism.
Complete identity and new wardrobe lock: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Use P08-S02-MEO-PRIMARY.REFERENCE.png as primary identity and P08-S02-MEO-SECONDARY.REFERENCE.png as confirmation only. Ignore all reference clothing.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Composition: one full-body standing Meo in exact 90-degree left-facing side profile, full feet parallel and visible, arms slightly away from torso, neutral pose, centered. Preserve precisely the front concept identity, hairstyle, garment construction, colors and shoes.
Pure white seamless studio background, neutral softbox light, one soft ground shadow, no environment and no prop.
Create exactly one image only: no collage, split screen, multi-panel layout, turnaround sheet, labels, captions, text, logo, watermark, duplicated person, unapproved extra character, or video.</x:v>
      </x:c>
      <x:c r="D3" s="25" t="str">
        <x:v>P08-S02-MEO-PRIMARY.REFERENCE.png|P08-S02-MEO-SECONDARY.REFERENCE.png</x:v>
      </x:c>
    </x:row>
    <x:row r="4" ht="360" customHeight="1">
      <x:c r="A4" s="23" t="n">
        <x:v>3</x:v>
      </x:c>
      <x:c r="B4" s="24" t="str">
        <x:v>P08-S02-C03-BO-FRONT</x:v>
      </x:c>
      <x:c r="C4" s="24" t="str">
        <x:v>Create a production-ready character concept image for Bố in Pilot 8 S1_02 Magic Inventor.
Polished warm 3D cartoon workshop fantasy with rounded wooden forms, tactile paper-and-foam materials, soft magical pulses, cinematic yet child-safe lighting, identity-faithful faces, and no photorealism.
Complete identity and new wardrobe lock: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P08-S02-BO-FRONT.REFERENCE.jpg as primary front-face/glasses identity and P08-S02-BO-SIDE.REFERENCE.jpg for hair, profile and glasses geometry. Ignore every garment and shoe in the photos.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Composition: one full-body standing father, exact straight-on front view, full feet visible, arms relaxed slightly away from torso, natural posture, warm expression, centered with generous white margin.
Pure white seamless studio background, neutral softbox light, one soft ground shadow, no environment and no prop. Make every garment construction and shoe fastening fully readable.
Create exactly one image only: no collage, split screen, multi-panel layout, turnaround sheet, labels, captions, text, logo, watermark, duplicated person, unapproved extra character, or video.</x:v>
      </x:c>
      <x:c r="D4" s="25" t="str">
        <x:v>P08-S02-BO-FRONT.REFERENCE.jpg|P08-S02-BO-SIDE.REFERENCE.jpg</x:v>
      </x:c>
    </x:row>
    <x:row r="5" ht="360" customHeight="1">
      <x:c r="A5" s="23" t="n">
        <x:v>4</x:v>
      </x:c>
      <x:c r="B5" s="24" t="str">
        <x:v>P08-S02-C04-BO-SIDE</x:v>
      </x:c>
      <x:c r="C5" s="24" t="str">
        <x:v>Create a production-ready character concept image for Bố in Pilot 8 S1_02 Magic Inventor.
Polished warm 3D cartoon workshop fantasy with rounded wooden forms, tactile paper-and-foam materials, soft magical pulses, cinematic yet child-safe lighting, identity-faithful faces, and no photorealism.
Complete identity and new wardrobe lock: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P08-S02-BO-FRONT.REFERENCE.jpg as primary identity and P08-S02-BO-SIDE.REFERENCE.jpg for exact profile, hair direction and glasses geometry. Ignore all reference clothing.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Composition: one full-body standing father in exact 90-degree left-facing side profile, full feet parallel and visible, arms slightly away from torso, neutral posture, centered. Preserve precisely the front concept identity, glasses, garment construction, colors and shoes.
Pure white seamless studio background, neutral softbox light, one soft ground shadow, no environment and no prop.
Create exactly one image only: no collage, split screen, multi-panel layout, turnaround sheet, labels, captions, text, logo, watermark, duplicated person, unapproved extra character, or video.</x:v>
      </x:c>
      <x:c r="D5" s="25" t="str">
        <x:v>P08-S02-BO-FRONT.REFERENCE.jpg|P08-S02-BO-SIDE.REFERENCE.jpg</x:v>
      </x:c>
    </x:row>
    <x:row r="6" ht="360" customHeight="1">
      <x:c r="A6" s="23" t="n">
        <x:v>5</x:v>
      </x:c>
      <x:c r="B6" s="24" t="str">
        <x:v>P08-S02-C05-DUO-FRONT</x:v>
      </x:c>
      <x:c r="C6" s="24" t="str">
        <x:v>Create a production-ready two-character scale concept image for Meo and Bố in Pilot 8 S1_02 Magic Inventor.
Polished warm 3D cartoon workshop fantasy with rounded wooden forms, tactile paper-and-foam materials, soft magical pulses, cinematic yet child-safe lighting, identity-faithful faces, and no photorealism.
Meo lock: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lock: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Reference precedence: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Composition: exactly two full-body characters on one ground line, straight-on, Bố left and Meo right, feet fully visible, arms relaxed, warm expressions, believable father-to-five-year-old height relationship, separated readable silhouettes.
Pure white seamless studio background, neutral softbox light, one shared soft ground shadow, no environment and no prop.
Create exactly one image only: no collage, split screen, multi-panel layout, turnaround sheet, labels, captions, text, logo, watermark, duplicated person, unapproved extra character, or video.</x:v>
      </x:c>
      <x:c r="D6" s="25" t="str">
        <x:v>P08-S02-MEO-PRIMARY.REFERENCE.png|P08-S02-MEO-SECONDARY.REFERENCE.png|P08-S02-BO-FRONT.REFERENCE.jpg|P08-S02-BO-SIDE.REFERENCE.jpg</x:v>
      </x:c>
    </x:row>
    <x:row r="7" ht="360" customHeight="1">
      <x:c r="A7" s="23" t="n">
        <x:v>6</x:v>
      </x:c>
      <x:c r="B7" s="24" t="str">
        <x:v>P08-S02-C06-DUO-THREEQ</x:v>
      </x:c>
      <x:c r="C7" s="24" t="str">
        <x:v>Create a production-ready two-character relationship concept image for Meo and Bố in Pilot 8 S1_02 Magic Inventor.
Polished warm 3D cartoon workshop fantasy with rounded wooden forms, tactile paper-and-foam materials, soft magical pulses, cinematic yet child-safe lighting, identity-faithful faces, and no photorealism.
Meo lock: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lock: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Reference precedence: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Composition: exactly two full-body characters in clean three-quarter view, Bố left leaning slightly toward Meo, Meo right looking up, nearest hands gently held in a calm teamwork pose, both faces readable, full feet visible, silhouettes separated, front-lineup scale preserved.
Pure white seamless studio background, neutral softbox light, one shared soft ground shadow, no environment and no prop.
Create exactly one image only: no collage, split screen, multi-panel layout, turnaround sheet, labels, captions, text, logo, watermark, duplicated person, unapproved extra character, or video.</x:v>
      </x:c>
      <x:c r="D7" s="25" t="str">
        <x:v>P08-S02-MEO-PRIMARY.REFERENCE.png|P08-S02-MEO-SECONDARY.REFERENCE.png|P08-S02-BO-FRONT.REFERENCE.jpg|P08-S02-BO-SIDE.REFERENCE.jpg</x:v>
      </x:c>
    </x:row>
    <x:row r="8" ht="430" customHeight="1">
      <x:c r="A8" s="23" t="n">
        <x:v>7</x:v>
      </x:c>
      <x:c r="B8" s="24" t="str">
        <x:v>P08-S02-I002-S1-01A-F01</x:v>
      </x:c>
      <x:c r="C8" s="24" t="str">
        <x:v>Create a storyboard concept still for Pilot 8 source video I002-S1-01A, story 1A, frame F01 of 3, representing 0-2s.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a warm whimsical workshop with rounded wooden tools and soft glowing drawers. A paper cup and wooden spoon sit beside the open invention box.
Exact frozen source action: Meo places the cup and spoon into two padded slots. Bố closes the soft lid using both handles. The box gives one gentle golden pulse.
Show the opening physical state and every prop needed for the coming cause-and-effect.
Camera adapted from the approved moving shot into one readable still: one medium-wide three-quarter shot beside the Magic Invention Box on a stable craft table. No cuts.
Visible physics/mechanism: frame angle changes the pendulum path; the correct angle brings the spoon swing through the cup strike point.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8" s="25" t="str">
        <x:v>P08-S02-MEO-PRIMARY.REFERENCE.png|P08-S02-MEO-SECONDARY.REFERENCE.png|P08-S02-BO-FRONT.REFERENCE.jpg|P08-S02-BO-SIDE.REFERENCE.jpg</x:v>
      </x:c>
    </x:row>
    <x:row r="9" ht="430" customHeight="1">
      <x:c r="A9" s="23" t="n">
        <x:v>8</x:v>
      </x:c>
      <x:c r="B9" s="24" t="str">
        <x:v>P08-S02-I002-S1-01A-F02</x:v>
      </x:c>
      <x:c r="C9" s="24" t="str">
        <x:v>Create a storyboard concept still for Pilot 8 source video I002-S1-01A, story 1A, frame F02 of 3, representing 2-7s.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a warm whimsical workshop with rounded wooden tools and soft glowing drawers. A paper cup and wooden spoon sit beside the open invention box.
Exact frozen source action: Bố opens the lid. The two objects have become one Rain Bell: the paper cup is the bell body and the spoon hangs from an enclosed pivot as a pendulum. Bố tilts the padded frame left; the spoon swings but misses the cup. He tilts right; the spoon touches the cup once. Meo compares both arcs and watches where the spoon passes closest to the cup side.
Freeze the clearest readable instant of the approved causal mechanism, with Meo's observation and Bố's indispensable physical action visible together.
Camera adapted from the approved moving shot into one readable still: one medium-wide three-quarter shot beside the Magic Invention Box on a stable craft table. No cuts.
Visible physics/mechanism: frame angle changes the pendulum path; the correct angle brings the spoon swing through the cup strike point.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9" s="25" t="str">
        <x:v>P08-S02-MEO-PRIMARY.REFERENCE.png|P08-S02-MEO-SECONDARY.REFERENCE.png|P08-S02-BO-FRONT.REFERENCE.jpg|P08-S02-BO-SIDE.REFERENCE.jpg</x:v>
      </x:c>
    </x:row>
    <x:row r="10" ht="430" customHeight="1">
      <x:c r="A10" s="23" t="n">
        <x:v>9</x:v>
      </x:c>
      <x:c r="B10" s="24" t="str">
        <x:v>P08-S02-I002-S1-01A-F03</x:v>
      </x:c>
      <x:c r="C10" s="24" t="str">
        <x:v>Create a storyboard concept still for Pilot 8 source video I002-S1-01A, story 1A, frame F03 of 3, representing 7-10s.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a warm whimsical workshop with rounded wooden tools and soft glowing drawers. A paper cup and wooden spoon sit beside the open invention box.
Exact frozen source action: Meo points to the middle angle mark where the spoon path crosses the cup. Bố returns the frame toward that mark and holds it. the spoon hangs just short of the cup, ready to test the centered angle. End unresolved.
Keep the approved Part A result visibly unresolved; do not solve it early.
Camera adapted from the approved moving shot into one readable still: one medium-wide three-quarter shot beside the Magic Invention Box on a stable craft table. No cuts.
Visible physics/mechanism: frame angle changes the pendulum path; the correct angle brings the spoon swing through the cup strike point.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0" s="25" t="str">
        <x:v>P08-S02-MEO-PRIMARY.REFERENCE.png|P08-S02-MEO-SECONDARY.REFERENCE.png|P08-S02-BO-FRONT.REFERENCE.jpg|P08-S02-BO-SIDE.REFERENCE.jpg</x:v>
      </x:c>
    </x:row>
    <x:row r="11" ht="430" customHeight="1">
      <x:c r="A11" s="23" t="n">
        <x:v>10</x:v>
      </x:c>
      <x:c r="B11" s="24" t="str">
        <x:v>P08-S02-I002-S1-01B-F01</x:v>
      </x:c>
      <x:c r="C11" s="24" t="str">
        <x:v>Create a storyboard concept still for Pilot 8 source video I002-S1-01B, story 1B, frame F01 of 3, representing 0-2s.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paper-cup Rain Bell rests on the craft table. The wooden spoon hangs from its enclosed pivot just short of the cup. Bố holds the padded frame near the middle angle mark. Meo stands beside the marks.
Exact frozen source action: Meo points to the middle mark and traces the spoon’s expected arc toward the cup side. Bố holds the frame steady.
Show the opening physical state and every prop needed for the coming cause-and-effect.
Camera adapted from the approved moving shot into one readable still: one medium-wide continuity shot from the same workshop angle, keeping the Rain Bell, center mark and hanging spoon visible. No cuts.
Visible physics/mechanism: centering the frame aligns the pendulum arc with the cup strike point, so each swing reaches the bell body consistently.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1" s="25" t="str">
        <x:v>P08-S02-MEO-PRIMARY.REFERENCE.png|P08-S02-MEO-SECONDARY.REFERENCE.png|P08-S02-BO-FRONT.REFERENCE.jpg|P08-S02-BO-SIDE.REFERENCE.jpg</x:v>
      </x:c>
    </x:row>
    <x:row r="12" ht="430" customHeight="1">
      <x:c r="A12" s="23" t="n">
        <x:v>11</x:v>
      </x:c>
      <x:c r="B12" s="24" t="str">
        <x:v>P08-S02-I002-S1-01B-F02</x:v>
      </x:c>
      <x:c r="C12" s="24" t="str">
        <x:v>Create a storyboard concept still for Pilot 8 source video I002-S1-01B, story 1B, frame F02 of 3, representing 2-7s.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paper-cup Rain Bell rests on the craft table. The wooden spoon hangs from its enclosed pivot just short of the cup. Bố holds the padded frame near the middle angle mark. Meo stands beside the marks.
Exact frozen source action: Bố adjusts the frame onto the middle mark, then gives the padded base one gentle side-to-side motion. The spoon swings smoothly and taps the paper cup once, then again on the return. Meo watches both strikes land at nearly the same point and signals him to keep the angle.
Freeze the clearest readable instant of the approved causal mechanism, with Meo's observation and Bố's indispensable physical action visible together.
Camera adapted from the approved moving shot into one readable still: one medium-wide continuity shot from the same workshop angle, keeping the Rain Bell, center mark and hanging spoon visible. No cuts.
Visible physics/mechanism: centering the frame aligns the pendulum arc with the cup strike point, so each swing reaches the bell body consistently.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2" s="25" t="str">
        <x:v>P08-S02-MEO-PRIMARY.REFERENCE.png|P08-S02-MEO-SECONDARY.REFERENCE.png|P08-S02-BO-FRONT.REFERENCE.jpg|P08-S02-BO-SIDE.REFERENCE.jpg</x:v>
      </x:c>
    </x:row>
    <x:row r="13" ht="430" customHeight="1">
      <x:c r="A13" s="23" t="n">
        <x:v>12</x:v>
      </x:c>
      <x:c r="B13" s="24" t="str">
        <x:v>P08-S02-I002-S1-01B-F03</x:v>
      </x:c>
      <x:c r="C13" s="24" t="str">
        <x:v>Create a storyboard concept still for Pilot 8 source video I002-S1-01B, story 1B, frame F03 of 3, representing 7-10s.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paper-cup Rain Bell rests on the craft table. The wooden spoon hangs from its enclosed pivot just short of the cup. Bố holds the padded frame near the middle angle mark. Meo stands beside the marks.
Exact frozen source action: Bố seats the frame into a soft center notch. The spoon continues one smaller swing and gives a final quiet tap. painted raindrop symbols glow on the cup. Meo says in Vietnamese, with a warm five-year-old voice and clear, delighted delivery: “Bố ơi, chuông mưa kêu rồi!” Keep the exact wording; do not translate it.
Show the approved Part B resolution and warm father-daughter closure without rendering dialogue as text.
Camera adapted from the approved moving shot into one readable still: one medium-wide continuity shot from the same workshop angle, keeping the Rain Bell, center mark and hanging spoon visible. No cuts.
Visible physics/mechanism: centering the frame aligns the pendulum arc with the cup strike point, so each swing reaches the bell body consistently.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3" s="25" t="str">
        <x:v>P08-S02-MEO-PRIMARY.REFERENCE.png|P08-S02-MEO-SECONDARY.REFERENCE.png|P08-S02-BO-FRONT.REFERENCE.jpg|P08-S02-BO-SIDE.REFERENCE.jpg</x:v>
      </x:c>
    </x:row>
    <x:row r="14" ht="430" customHeight="1">
      <x:c r="A14" s="23" t="n">
        <x:v>13</x:v>
      </x:c>
      <x:c r="B14" s="24" t="str">
        <x:v>P08-S02-I002-S1-02A-F01</x:v>
      </x:c>
      <x:c r="C14" s="24" t="str">
        <x:v>Create a storyboard concept still for Pilot 8 source video I002-S1-02A, story 2A, frame F01 of 3, representing 0-2s.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same warm workshop. A short cardboard tube and a soft star-shaped craft cutter lie beside the invention box. The cutter has broad rounded edges.
Exact frozen source action: Meo places the tube and star cutter into two padded slots. Bố closes the soft lid with both handles. One blue-gold pulse shines around the seams.
Show the opening physical state and every prop needed for the coming cause-and-effect.
Camera adapted from the approved moving shot into one readable still: one medium-wide side three-quarter shot beside the Magic Invention Box and a matte projection board. No cuts.
Visible physics/mechanism: the internal light forms a clear shape only when the tube axis and star aperture align; misalignment clips part of the light path.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4" s="25" t="str">
        <x:v>P08-S02-MEO-PRIMARY.REFERENCE.png|P08-S02-MEO-SECONDARY.REFERENCE.png|P08-S02-BO-FRONT.REFERENCE.jpg|P08-S02-BO-SIDE.REFERENCE.jpg</x:v>
      </x:c>
    </x:row>
    <x:row r="15" ht="430" customHeight="1">
      <x:c r="A15" s="23" t="n">
        <x:v>14</x:v>
      </x:c>
      <x:c r="B15" s="24" t="str">
        <x:v>P08-S02-I002-S1-02A-F02</x:v>
      </x:c>
      <x:c r="C15" s="24" t="str">
        <x:v>Create a storyboard concept still for Pilot 8 source video I002-S1-02A, story 2A, frame F02 of 3, representing 2-7s.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same warm workshop. A short cardboard tube and a soft star-shaped craft cutter lie beside the invention box. The cutter has broad rounded edges.
Exact frozen source action: Bố opens the box. The two objects have become one Star Projector: the cardboard tube sits in a padded rotating collar, and the star piece forms a covered front aperture. An enclosed cool magical light glows inside. Bố rotates the collar left; a blurred patch appears on the matte board. He rotates right; the patch narrows but stays uneven. Meo notices that an alignment dot on the tube is not centered with the star-aperture mark.
Freeze the clearest readable instant of the approved causal mechanism, with Meo's observation and Bố's indispensable physical action visible together.
Camera adapted from the approved moving shot into one readable still: one medium-wide side three-quarter shot beside the Magic Invention Box and a matte projection board. No cuts.
Visible physics/mechanism: the internal light forms a clear shape only when the tube axis and star aperture align; misalignment clips part of the light path.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5" s="25" t="str">
        <x:v>P08-S02-MEO-PRIMARY.REFERENCE.png|P08-S02-MEO-SECONDARY.REFERENCE.png|P08-S02-BO-FRONT.REFERENCE.jpg|P08-S02-BO-SIDE.REFERENCE.jpg</x:v>
      </x:c>
    </x:row>
    <x:row r="16" ht="430" customHeight="1">
      <x:c r="A16" s="23" t="n">
        <x:v>15</x:v>
      </x:c>
      <x:c r="B16" s="24" t="str">
        <x:v>P08-S02-I002-S1-02A-F03</x:v>
      </x:c>
      <x:c r="C16" s="24" t="str">
        <x:v>Create a storyboard concept still for Pilot 8 source video I002-S1-02A, story 2A, frame F03 of 3, representing 7-10s.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same warm workshop. A short cardboard tube and a soft star-shaped craft cutter lie beside the invention box. The cutter has broad rounded edges.
Exact frozen source action: Meo points from the offset dot to the matching center mark. Bố rotates the padded collar toward alignment and holds it just before the marks meet. the projected patch is almost star-shaped but one point remains blurred. End unresolved.
Keep the approved Part A result visibly unresolved; do not solve it early.
Camera adapted from the approved moving shot into one readable still: one medium-wide side three-quarter shot beside the Magic Invention Box and a matte projection board. No cuts.
Visible physics/mechanism: the internal light forms a clear shape only when the tube axis and star aperture align; misalignment clips part of the light path.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6" s="25" t="str">
        <x:v>P08-S02-MEO-PRIMARY.REFERENCE.png|P08-S02-MEO-SECONDARY.REFERENCE.png|P08-S02-BO-FRONT.REFERENCE.jpg|P08-S02-BO-SIDE.REFERENCE.jpg</x:v>
      </x:c>
    </x:row>
    <x:row r="17" ht="430" customHeight="1">
      <x:c r="A17" s="23" t="n">
        <x:v>16</x:v>
      </x:c>
      <x:c r="B17" s="24" t="str">
        <x:v>P08-S02-I002-S1-02B-F01</x:v>
      </x:c>
      <x:c r="C17" s="24" t="str">
        <x:v>Create a storyboard concept still for Pilot 8 source video I002-S1-02B, story 2B, frame F01 of 3, representing 0-2s.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cardboard-tube Star Projector rests in its padded collar. The alignment dot sits just beside the matching aperture mark. A nearly star-shaped light patch appears on the board with one point blurred. Bố holds the rotation handle. Meo stands beside the marks.
Exact frozen source action: Meo points to the offset dot, then to the matching center mark and signals a small final rotation.
Show the opening physical state and every prop needed for the coming cause-and-effect.
Camera adapted from the approved moving shot into one readable still: one medium-wide continuity shot from the same workshop side, keeping the Star Projector, alignment marks and matte board visible. No cuts.
Visible physics/mechanism: aligning the tube axis with the star aperture removes clipping from the light path, allowing the full aperture shape to project clearly.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7" s="25" t="str">
        <x:v>P08-S02-MEO-PRIMARY.REFERENCE.png|P08-S02-MEO-SECONDARY.REFERENCE.png|P08-S02-BO-FRONT.REFERENCE.jpg|P08-S02-BO-SIDE.REFERENCE.jpg</x:v>
      </x:c>
    </x:row>
    <x:row r="18" ht="430" customHeight="1">
      <x:c r="A18" s="23" t="n">
        <x:v>17</x:v>
      </x:c>
      <x:c r="B18" s="24" t="str">
        <x:v>P08-S02-I002-S1-02B-F02</x:v>
      </x:c>
      <x:c r="C18" s="24" t="str">
        <x:v>Create a storyboard concept still for Pilot 8 source video I002-S1-02B, story 2B, frame F02 of 3, representing 2-7s.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cardboard-tube Star Projector rests in its padded collar. The alignment dot sits just beside the matching aperture mark. A nearly star-shaped light patch appears on the board with one point blurred. Bố holds the rotation handle. Meo stands beside the marks.
Exact frozen source action: Bố rotates the padded collar slowly until both marks line up. As the tube axis centers behind the star aperture, the blurred edge sharpens. Meo watches all five points appear evenly and signals stop. Bố keeps the projector aimed at the same board.
Freeze the clearest readable instant of the approved causal mechanism, with Meo's observation and Bố's indispensable physical action visible together.
Camera adapted from the approved moving shot into one readable still: one medium-wide continuity shot from the same workshop side, keeping the Star Projector, alignment marks and matte board visible. No cuts.
Visible physics/mechanism: aligning the tube axis with the star aperture removes clipping from the light path, allowing the full aperture shape to project clearly.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8" s="25" t="str">
        <x:v>P08-S02-MEO-PRIMARY.REFERENCE.png|P08-S02-MEO-SECONDARY.REFERENCE.png|P08-S02-BO-FRONT.REFERENCE.jpg|P08-S02-BO-SIDE.REFERENCE.jpg</x:v>
      </x:c>
    </x:row>
    <x:row r="19" ht="430" customHeight="1">
      <x:c r="A19" s="23" t="n">
        <x:v>18</x:v>
      </x:c>
      <x:c r="B19" s="24" t="str">
        <x:v>P08-S02-I002-S1-02B-F03</x:v>
      </x:c>
      <x:c r="C19" s="24" t="str">
        <x:v>Create a storyboard concept still for Pilot 8 source video I002-S1-02B, story 2B, frame F03 of 3, representing 7-10s.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cardboard-tube Star Projector rests in its padded collar. The alignment dot sits just beside the matching aperture mark. A nearly star-shaped light patch appears on the board with one point blurred. Bố holds the rotation handle. Meo stands beside the marks.
Exact frozen source action: Bố seats the collar into a soft alignment notch. The star remains crisp and steady while Meo checks the matching marks. tiny enclosed sparkles shimmer inside the projected star. Meo says in Vietnamese, with a warm five-year-old voice and clear, delighted delivery: “Bố ơi, ngôi sao rõ rồi!” Keep the exact wording; do not translate it.
Show the approved Part B resolution and warm father-daughter closure without rendering dialogue as text.
Camera adapted from the approved moving shot into one readable still: one medium-wide continuity shot from the same workshop side, keeping the Star Projector, alignment marks and matte board visible. No cuts.
Visible physics/mechanism: aligning the tube axis with the star aperture removes clipping from the light path, allowing the full aperture shape to project clearly.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19" s="25" t="str">
        <x:v>P08-S02-MEO-PRIMARY.REFERENCE.png|P08-S02-MEO-SECONDARY.REFERENCE.png|P08-S02-BO-FRONT.REFERENCE.jpg|P08-S02-BO-SIDE.REFERENCE.jpg</x:v>
      </x:c>
    </x:row>
    <x:row r="20" ht="430" customHeight="1">
      <x:c r="A20" s="23" t="n">
        <x:v>19</x:v>
      </x:c>
      <x:c r="B20" s="24" t="str">
        <x:v>P08-S02-I002-S1-03A-F01</x:v>
      </x:c>
      <x:c r="C20" s="24" t="str">
        <x:v>Create a storyboard concept still for Pilot 8 source video I002-S1-03A, story 3A, frame F01 of 3, representing 0-2s.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warm whimsical workshop. A folding paper fan and a satin ribbon lie beside the open invention box.
Exact frozen source action: Meo places the fan and ribbon into two padded slots. Bố closes the soft lid with both handles. The box gives one gentle turquoise pulse.
Show the opening physical state and every prop needed for the coming cause-and-effect.
Camera adapted from the approved moving shot into one readable still: one medium-wide three-quarter workshop shot beside the Magic Invention Box and a low airflow test stand. No cuts.
Visible physics/mechanism: moving air pushes the flexible ribbon in the airflow direction; rotating the fan housing changes the airflow direction relative to the fixed guide ring.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0" s="25" t="str">
        <x:v>P08-S02-MEO-PRIMARY.REFERENCE.png|P08-S02-MEO-SECONDARY.REFERENCE.png|P08-S02-BO-FRONT.REFERENCE.jpg|P08-S02-BO-SIDE.REFERENCE.jpg</x:v>
      </x:c>
    </x:row>
    <x:row r="21" ht="430" customHeight="1">
      <x:c r="A21" s="23" t="n">
        <x:v>20</x:v>
      </x:c>
      <x:c r="B21" s="24" t="str">
        <x:v>P08-S02-I002-S1-03A-F02</x:v>
      </x:c>
      <x:c r="C21" s="24" t="str">
        <x:v>Create a storyboard concept still for Pilot 8 source video I002-S1-03A, story 3A, frame F02 of 3, representing 2-7s.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warm whimsical workshop. A folding paper fan and a satin ribbon lie beside the open invention box.
Exact frozen source action: Bố opens the lid. The two objects have become one Wind Finder: the paper fan sits inside a padded rotating housing while the ribbon forms a flexible vane passing through a guide ring. Bố turns the padded handle; the enclosed fan moves slowly. The ribbon leans strongly left. He rotates the housing a small amount; the ribbon becomes less sideways and points more through the ring. Meo compares both vane directions against the center marker.
Freeze the clearest readable instant of the approved causal mechanism, with Meo's observation and Bố's indispensable physical action visible together.
Camera adapted from the approved moving shot into one readable still: one medium-wide three-quarter workshop shot beside the Magic Invention Box and a low airflow test stand. No cuts.
Visible physics/mechanism: moving air pushes the flexible ribbon in the airflow direction; rotating the fan housing changes the airflow direction relative to the fixed guide ring.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1" s="25" t="str">
        <x:v>P08-S02-MEO-PRIMARY.REFERENCE.png|P08-S02-MEO-SECONDARY.REFERENCE.png|P08-S02-BO-FRONT.REFERENCE.jpg|P08-S02-BO-SIDE.REFERENCE.jpg</x:v>
      </x:c>
    </x:row>
    <x:row r="22" ht="430" customHeight="1">
      <x:c r="A22" s="23" t="n">
        <x:v>21</x:v>
      </x:c>
      <x:c r="B22" s="24" t="str">
        <x:v>P08-S02-I002-S1-03A-F03</x:v>
      </x:c>
      <x:c r="C22" s="24" t="str">
        <x:v>Create a storyboard concept still for Pilot 8 source video I002-S1-03A, story 3A, frame F03 of 3, representing 7-10s.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warm whimsical workshop. A folding paper fan and a satin ribbon lie beside the open invention box.
Exact frozen source action: Meo points from the leaning ribbon to the center of the guide ring and traces the rotation direction that would bring the vane straight through it. Bố rotates toward that mark and holds just before alignment. the ribbon still leans slightly off center. End unresolved.
Keep the approved Part A result visibly unresolved; do not solve it early.
Camera adapted from the approved moving shot into one readable still: one medium-wide three-quarter workshop shot beside the Magic Invention Box and a low airflow test stand. No cuts.
Visible physics/mechanism: moving air pushes the flexible ribbon in the airflow direction; rotating the fan housing changes the airflow direction relative to the fixed guide ring.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2" s="25" t="str">
        <x:v>P08-S02-MEO-PRIMARY.REFERENCE.png|P08-S02-MEO-SECONDARY.REFERENCE.png|P08-S02-BO-FRONT.REFERENCE.jpg|P08-S02-BO-SIDE.REFERENCE.jpg</x:v>
      </x:c>
    </x:row>
    <x:row r="23" ht="430" customHeight="1">
      <x:c r="A23" s="23" t="n">
        <x:v>22</x:v>
      </x:c>
      <x:c r="B23" s="24" t="str">
        <x:v>P08-S02-I002-S1-03B-F01</x:v>
      </x:c>
      <x:c r="C23" s="24" t="str">
        <x:v>Create a storyboard concept still for Pilot 8 source video I002-S1-03B, story 3B, frame F01 of 3, representing 0-2s.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Wind Finder rests on the test stand. Its ribbon vane still leans slightly off center. Bố holds the padded rotation handle. Meo stands beside the center marker.
Exact frozen source action: Meo points to the ring center and signals one small rotation in the direction indicated by the marker. Bố keeps the fan running at the same slow speed.
Show the opening physical state and every prop needed for the coming cause-and-effect.
Camera adapted from the approved moving shot into one readable still: one medium-wide continuity shot from the same workshop angle, keeping the Wind Finder, guide ring and ribbon vane visible. No cuts.
Visible physics/mechanism: airflow deflects the flexible vane in its travel direction; centering the fan housing with the ring makes the vane stream straight through the guide.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3" s="25" t="str">
        <x:v>P08-S02-MEO-PRIMARY.REFERENCE.png|P08-S02-MEO-SECONDARY.REFERENCE.png|P08-S02-BO-FRONT.REFERENCE.jpg|P08-S02-BO-SIDE.REFERENCE.jpg</x:v>
      </x:c>
    </x:row>
    <x:row r="24" ht="430" customHeight="1">
      <x:c r="A24" s="23" t="n">
        <x:v>23</x:v>
      </x:c>
      <x:c r="B24" s="24" t="str">
        <x:v>P08-S02-I002-S1-03B-F02</x:v>
      </x:c>
      <x:c r="C24" s="24" t="str">
        <x:v>Create a storyboard concept still for Pilot 8 source video I002-S1-03B, story 3B, frame F02 of 3, representing 2-7s.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Wind Finder rests on the test stand. Its ribbon vane still leans slightly off center. Bố holds the padded rotation handle. Meo stands beside the center marker.
Exact frozen source action: Bố rotates the padded housing gradually. The ribbon moves from a diagonal lean toward the centerline. Meo watches the tip cross the guide marks and signals him to stop when the vane streams straight through the middle of the ring. Bố holds the housing steady.
Freeze the clearest readable instant of the approved causal mechanism, with Meo's observation and Bố's indispensable physical action visible together.
Camera adapted from the approved moving shot into one readable still: one medium-wide continuity shot from the same workshop angle, keeping the Wind Finder, guide ring and ribbon vane visible. No cuts.
Visible physics/mechanism: airflow deflects the flexible vane in its travel direction; centering the fan housing with the ring makes the vane stream straight through the guide.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4" s="25" t="str">
        <x:v>P08-S02-MEO-PRIMARY.REFERENCE.png|P08-S02-MEO-SECONDARY.REFERENCE.png|P08-S02-BO-FRONT.REFERENCE.jpg|P08-S02-BO-SIDE.REFERENCE.jpg</x:v>
      </x:c>
    </x:row>
    <x:row r="25" ht="430" customHeight="1">
      <x:c r="A25" s="23" t="n">
        <x:v>24</x:v>
      </x:c>
      <x:c r="B25" s="24" t="str">
        <x:v>P08-S02-I002-S1-03B-F03</x:v>
      </x:c>
      <x:c r="C25" s="24" t="str">
        <x:v>Create a storyboard concept still for Pilot 8 source video I002-S1-03B, story 3B, frame F03 of 3, representing 7-10s.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Wind Finder rests on the test stand. Its ribbon vane still leans slightly off center. Bố holds the padded rotation handle. Meo stands beside the center marker.
Exact frozen source action: Bố seats the rotation handle into a soft notch. The ribbon stays centered and flutters evenly without touching the ring. a tiny compass-like star on the base glows. Meo says in Vietnamese, with a warm five-year-old voice and clear, delighted delivery: “Bố ơi, gió đi thẳng rồi!” Keep the exact wording; do not translate it.
Show the approved Part B resolution and warm father-daughter closure without rendering dialogue as text.
Camera adapted from the approved moving shot into one readable still: one medium-wide continuity shot from the same workshop angle, keeping the Wind Finder, guide ring and ribbon vane visible. No cuts.
Visible physics/mechanism: airflow deflects the flexible vane in its travel direction; centering the fan housing with the ring makes the vane stream straight through the guide.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5" s="25" t="str">
        <x:v>P08-S02-MEO-PRIMARY.REFERENCE.png|P08-S02-MEO-SECONDARY.REFERENCE.png|P08-S02-BO-FRONT.REFERENCE.jpg|P08-S02-BO-SIDE.REFERENCE.jpg</x:v>
      </x:c>
    </x:row>
    <x:row r="26" ht="430" customHeight="1">
      <x:c r="A26" s="23" t="n">
        <x:v>25</x:v>
      </x:c>
      <x:c r="B26" s="24" t="str">
        <x:v>P08-S02-I002-S1-04A-F01</x:v>
      </x:c>
      <x:c r="C26" s="24" t="str">
        <x:v>Create a storyboard concept still for Pilot 8 source video I002-S1-04A, story 4A, frame F01 of 3, representing 0-2s.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same warm workshop. A dry foam sponge and a wide cardboard tube lie beside the open invention box.
Exact frozen source action: Meo places the sponge and tube into two padded slots. Bố closes the soft lid with both handles. A pale silver pulse travels around the box.
Show the opening physical state and every prop needed for the coming cause-and-effect.
Camera adapted from the approved moving shot into one readable still: one medium-wide side workshop shot beside the Magic Invention Box and a soft cloud target board. No cuts.
Visible physics/mechanism: compressing the bellows pushes air through the tube; allowing the sponge chamber to recover its full volume before each press provides more air for the next pulse.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6" s="25" t="str">
        <x:v>P08-S02-MEO-PRIMARY.REFERENCE.png|P08-S02-MEO-SECONDARY.REFERENCE.png|P08-S02-BO-FRONT.REFERENCE.jpg|P08-S02-BO-SIDE.REFERENCE.jpg</x:v>
      </x:c>
    </x:row>
    <x:row r="27" ht="430" customHeight="1">
      <x:c r="A27" s="23" t="n">
        <x:v>26</x:v>
      </x:c>
      <x:c r="B27" s="24" t="str">
        <x:v>P08-S02-I002-S1-04A-F02</x:v>
      </x:c>
      <x:c r="C27" s="24" t="str">
        <x:v>Create a storyboard concept still for Pilot 8 source video I002-S1-04A, story 4A, frame F02 of 3, representing 2-7s.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same warm workshop. A dry foam sponge and a wide cardboard tube lie beside the open invention box.
Exact frozen source action: Bố opens the lid. The objects have become one Cloud Puffer: the sponge forms a soft bellows chamber behind the tube, with an enclosed air path. Bố presses the padded sponge chamber halfway and a weak puff makes only the nearest paper cloud marker tremble. He releases only partway, presses again, and the second puff is weaker. Then he lets the sponge expand fully to the widest marks. Meo compares the partial-reset and full-reset gaps.
Freeze the clearest readable instant of the approved causal mechanism, with Meo's observation and Bố's indispensable physical action visible together.
Camera adapted from the approved moving shot into one readable still: one medium-wide side workshop shot beside the Magic Invention Box and a soft cloud target board. No cuts.
Visible physics/mechanism: compressing the bellows pushes air through the tube; allowing the sponge chamber to recover its full volume before each press provides more air for the next pulse.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7" s="25" t="str">
        <x:v>P08-S02-MEO-PRIMARY.REFERENCE.png|P08-S02-MEO-SECONDARY.REFERENCE.png|P08-S02-BO-FRONT.REFERENCE.jpg|P08-S02-BO-SIDE.REFERENCE.jpg</x:v>
      </x:c>
    </x:row>
    <x:row r="28" ht="430" customHeight="1">
      <x:c r="A28" s="23" t="n">
        <x:v>27</x:v>
      </x:c>
      <x:c r="B28" s="24" t="str">
        <x:v>P08-S02-I002-S1-04A-F03</x:v>
      </x:c>
      <x:c r="C28" s="24" t="str">
        <x:v>Create a storyboard concept still for Pilot 8 source video I002-S1-04A, story 4A, frame F03 of 3, representing 7-10s.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same warm workshop. A dry foam sponge and a wide cardboard tube lie beside the open invention box.
Exact frozen source action: Meo points to the widest chamber marks and signals that the sponge must return fully before the next press. Bố holds it fully expanded. the Cloud Puffer is ready but has not made the strong puff yet. End unresolved.
Keep the approved Part A result visibly unresolved; do not solve it early.
Camera adapted from the approved moving shot into one readable still: one medium-wide side workshop shot beside the Magic Invention Box and a soft cloud target board. No cuts.
Visible physics/mechanism: compressing the bellows pushes air through the tube; allowing the sponge chamber to recover its full volume before each press provides more air for the next pulse.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8" s="25" t="str">
        <x:v>P08-S02-MEO-PRIMARY.REFERENCE.png|P08-S02-MEO-SECONDARY.REFERENCE.png|P08-S02-BO-FRONT.REFERENCE.jpg|P08-S02-BO-SIDE.REFERENCE.jpg</x:v>
      </x:c>
    </x:row>
    <x:row r="29" ht="430" customHeight="1">
      <x:c r="A29" s="23" t="n">
        <x:v>28</x:v>
      </x:c>
      <x:c r="B29" s="24" t="str">
        <x:v>P08-S02-I002-S1-04B-F01</x:v>
      </x:c>
      <x:c r="C29" s="24" t="str">
        <x:v>Create a storyboard concept still for Pilot 8 source video I002-S1-04B, story 4B, frame F01 of 3, representing 0-2s.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Cloud Puffer rests on the craft table. Its sponge bellows is fully expanded at the widest marks. Bố holds the padded press plate. Meo stands beside the chamber marks.
Exact frozen source action: Meo points to the full-reset marks, then signals one complete press. Bố keeps the tube aimed at the same soft target.
Show the opening physical state and every prop needed for the coming cause-and-effect.
Camera adapted from the approved moving shot into one readable still: one medium-wide continuity shot from the same side, keeping the Cloud Puffer, sponge chamber and cloud target visible. No cuts.
Visible physics/mechanism: full bellows recovery restores chamber volume; equal full presses displace similar amounts of air and create consistent pulses through the tube.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29" s="25" t="str">
        <x:v>P08-S02-MEO-PRIMARY.REFERENCE.png|P08-S02-MEO-SECONDARY.REFERENCE.png|P08-S02-BO-FRONT.REFERENCE.jpg|P08-S02-BO-SIDE.REFERENCE.jpg</x:v>
      </x:c>
    </x:row>
    <x:row r="30" ht="430" customHeight="1">
      <x:c r="A30" s="23" t="n">
        <x:v>29</x:v>
      </x:c>
      <x:c r="B30" s="24" t="str">
        <x:v>P08-S02-I002-S1-04B-F02</x:v>
      </x:c>
      <x:c r="C30" s="24" t="str">
        <x:v>Create a storyboard concept still for Pilot 8 source video I002-S1-04B, story 4B, frame F02 of 3, representing 2-7s.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Cloud Puffer rests on the craft table. Its sponge bellows is fully expanded at the widest marks. Bố holds the padded press plate. Meo stands beside the chamber marks.
Exact frozen source action: Bố presses the sponge chamber slowly through its full safe travel. A smooth airflow pulse passes through the wide tube and lifts three lightweight attached cloud flaps on the target in sequence. He releases completely. Meo watches the chamber return to the widest marks before signaling a second press. Bố repeats; the cloud flaps rise to the same height.
Freeze the clearest readable instant of the approved causal mechanism, with Meo's observation and Bố's indispensable physical action visible together.
Camera adapted from the approved moving shot into one readable still: one medium-wide continuity shot from the same side, keeping the Cloud Puffer, sponge chamber and cloud target visible. No cuts.
Visible physics/mechanism: full bellows recovery restores chamber volume; equal full presses displace similar amounts of air and create consistent pulses through the tube.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0" s="25" t="str">
        <x:v>P08-S02-MEO-PRIMARY.REFERENCE.png|P08-S02-MEO-SECONDARY.REFERENCE.png|P08-S02-BO-FRONT.REFERENCE.jpg|P08-S02-BO-SIDE.REFERENCE.jpg</x:v>
      </x:c>
    </x:row>
    <x:row r="31" ht="430" customHeight="1">
      <x:c r="A31" s="23" t="n">
        <x:v>30</x:v>
      </x:c>
      <x:c r="B31" s="24" t="str">
        <x:v>P08-S02-I002-S1-04B-F03</x:v>
      </x:c>
      <x:c r="C31" s="24" t="str">
        <x:v>Create a storyboard concept still for Pilot 8 source video I002-S1-04B, story 4B, frame F03 of 3, representing 7-10s.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Cloud Puffer rests on the craft table. Its sponge bellows is fully expanded at the widest marks. Bố holds the padded press plate. Meo stands beside the chamber marks.
Exact frozen source action: Bố lets the chamber expand fully once more and parks the press plate in a soft resting catch. The flaps settle gently. a small painted cloud on the tube glows. Meo says in Vietnamese, with a warm five-year-old voice and clear, delighted delivery: “Bố ơi, mây bay đều rồi!” Keep the exact wording; do not translate it.
Show the approved Part B resolution and warm father-daughter closure without rendering dialogue as text.
Camera adapted from the approved moving shot into one readable still: one medium-wide continuity shot from the same side, keeping the Cloud Puffer, sponge chamber and cloud target visible. No cuts.
Visible physics/mechanism: full bellows recovery restores chamber volume; equal full presses displace similar amounts of air and create consistent pulses through the tube.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1" s="25" t="str">
        <x:v>P08-S02-MEO-PRIMARY.REFERENCE.png|P08-S02-MEO-SECONDARY.REFERENCE.png|P08-S02-BO-FRONT.REFERENCE.jpg|P08-S02-BO-SIDE.REFERENCE.jpg</x:v>
      </x:c>
    </x:row>
    <x:row r="32" ht="430" customHeight="1">
      <x:c r="A32" s="23" t="n">
        <x:v>31</x:v>
      </x:c>
      <x:c r="B32" s="24" t="str">
        <x:v>P08-S02-I002-S1-05A-F01</x:v>
      </x:c>
      <x:c r="C32" s="24" t="str">
        <x:v>Create a storyboard concept still for Pilot 8 source video I002-S1-05A, story 5A, frame F01 of 3, representing 0-2s.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a paper speaking cone and a thick soft yarn strand lie beside the open invention box.
Exact frozen source action: Meo places the cone and yarn into two padded slots. Bố closes the soft lid with both handles. A violet pulse crosses the box.
Show the opening physical state and every prop needed for the coming cause-and-effect.
Camera adapted from the approved moving shot into one readable still: one medium-wide three-quarter workshop shot beside the Magic Invention Box and two padded sound posts. No cuts.
Visible physics/mechanism: a taut line transmits vibration efficiently between the cone membranes; slack yarn bends and absorbs more of the motion.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2" s="25" t="str">
        <x:v>P08-S02-MEO-PRIMARY.REFERENCE.png|P08-S02-MEO-SECONDARY.REFERENCE.png|P08-S02-BO-FRONT.REFERENCE.jpg|P08-S02-BO-SIDE.REFERENCE.jpg</x:v>
      </x:c>
    </x:row>
    <x:row r="33" ht="430" customHeight="1">
      <x:c r="A33" s="23" t="n">
        <x:v>32</x:v>
      </x:c>
      <x:c r="B33" s="24" t="str">
        <x:v>P08-S02-I002-S1-05A-F02</x:v>
      </x:c>
      <x:c r="C33" s="24" t="str">
        <x:v>Create a storyboard concept still for Pilot 8 source video I002-S1-05A, story 5A, frame F02 of 3, representing 2-7s.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a paper speaking cone and a thick soft yarn strand lie beside the open invention box.
Exact frozen source action: Bố opens the lid. The two objects have become one Whisper Line: the paper cone sits on one padded post while the yarn runs through an enclosed center membrane to a second post with a tension handle. Bố leaves the yarn slack and gently taps the cone rim; the far membrane barely trembles. He turns the tension handle until the yarn straightens, taps again, and the far membrane visibly quivers. Meo compares the loose curve with the straight yarn and watches the tiny vibration travel along the taut line.
Freeze the clearest readable instant of the approved causal mechanism, with Meo's observation and Bố's indispensable physical action visible together.
Camera adapted from the approved moving shot into one readable still: one medium-wide three-quarter workshop shot beside the Magic Invention Box and two padded sound posts. No cuts.
Visible physics/mechanism: a taut line transmits vibration efficiently between the cone membranes; slack yarn bends and absorbs more of the motion.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3" s="25" t="str">
        <x:v>P08-S02-MEO-PRIMARY.REFERENCE.png|P08-S02-MEO-SECONDARY.REFERENCE.png|P08-S02-BO-FRONT.REFERENCE.jpg|P08-S02-BO-SIDE.REFERENCE.jpg</x:v>
      </x:c>
    </x:row>
    <x:row r="34" ht="430" customHeight="1">
      <x:c r="A34" s="23" t="n">
        <x:v>33</x:v>
      </x:c>
      <x:c r="B34" s="24" t="str">
        <x:v>P08-S02-I002-S1-05A-F03</x:v>
      </x:c>
      <x:c r="C34" s="24" t="str">
        <x:v>Create a storyboard concept still for Pilot 8 source video I002-S1-05A, story 5A, frame F03 of 3, representing 7-10s.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a paper speaking cone and a thick soft yarn strand lie beside the open invention box.
Exact frozen source action: Meo points to the straight tension mark and signals Bố to keep the yarn taut without over-tightening. Bố stops just before the marked zone is centered. the line is nearly taut enough, but the far membrane still moves only faintly. End unresolved.
Keep the approved Part A result visibly unresolved; do not solve it early.
Camera adapted from the approved moving shot into one readable still: one medium-wide three-quarter workshop shot beside the Magic Invention Box and two padded sound posts. No cuts.
Visible physics/mechanism: a taut line transmits vibration efficiently between the cone membranes; slack yarn bends and absorbs more of the motion.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4" s="25" t="str">
        <x:v>P08-S02-MEO-PRIMARY.REFERENCE.png|P08-S02-MEO-SECONDARY.REFERENCE.png|P08-S02-BO-FRONT.REFERENCE.jpg|P08-S02-BO-SIDE.REFERENCE.jpg</x:v>
      </x:c>
    </x:row>
    <x:row r="35" ht="430" customHeight="1">
      <x:c r="A35" s="23" t="n">
        <x:v>34</x:v>
      </x:c>
      <x:c r="B35" s="24" t="str">
        <x:v>P08-S02-I002-S1-05B-F01</x:v>
      </x:c>
      <x:c r="C35" s="24" t="str">
        <x:v>Create a storyboard concept still for Pilot 8 source video I002-S1-05B, story 5B, frame F01 of 3, representing 0-2s.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paper cone is mounted on one post, the thick yarn runs to the far membrane, and the line is almost taut. Bố holds the padded tension handle. Meo stands beside the straight-line mark.
Exact frozen source action: Meo points to the center of the safe tension zone and signals one small turn. Bố rotates the handle slowly.
Show the opening physical state and every prop needed for the coming cause-and-effect.
Camera adapted from the approved moving shot into one readable still: one medium-wide continuity shot from the same workshop angle, keeping both Whisper Line posts and the tension mark visible. No cuts.
Visible physics/mechanism: correct line tension keeps the yarn straight enough to carry vibration from one cone membrane to the other with less damping.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5" s="25" t="str">
        <x:v>P08-S02-MEO-PRIMARY.REFERENCE.png|P08-S02-MEO-SECONDARY.REFERENCE.png|P08-S02-BO-FRONT.REFERENCE.jpg|P08-S02-BO-SIDE.REFERENCE.jpg</x:v>
      </x:c>
    </x:row>
    <x:row r="36" ht="430" customHeight="1">
      <x:c r="A36" s="23" t="n">
        <x:v>35</x:v>
      </x:c>
      <x:c r="B36" s="24" t="str">
        <x:v>P08-S02-I002-S1-05B-F02</x:v>
      </x:c>
      <x:c r="C36" s="24" t="str">
        <x:v>Create a storyboard concept still for Pilot 8 source video I002-S1-05B, story 5B, frame F02 of 3, representing 2-7s.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paper cone is mounted on one post, the thick yarn runs to the far membrane, and the line is almost taut. Bố holds the padded tension handle. Meo stands beside the straight-line mark.
Exact frozen source action: the yarn straightens to the marked tension. Bố stops and gently taps the near cone rim twice. Each tap makes the far membrane quiver clearly with the same rhythm. Meo watches the visible vibration arrive and signals that the line should stay at this tension. Bố holds the handle steady without tightening further.
Freeze the clearest readable instant of the approved causal mechanism, with Meo's observation and Bố's indispensable physical action visible together.
Camera adapted from the approved moving shot into one readable still: one medium-wide continuity shot from the same workshop angle, keeping both Whisper Line posts and the tension mark visible. No cuts.
Visible physics/mechanism: correct line tension keeps the yarn straight enough to carry vibration from one cone membrane to the other with less damping.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6" s="25" t="str">
        <x:v>P08-S02-MEO-PRIMARY.REFERENCE.png|P08-S02-MEO-SECONDARY.REFERENCE.png|P08-S02-BO-FRONT.REFERENCE.jpg|P08-S02-BO-SIDE.REFERENCE.jpg</x:v>
      </x:c>
    </x:row>
    <x:row r="37" ht="430" customHeight="1">
      <x:c r="A37" s="23" t="n">
        <x:v>36</x:v>
      </x:c>
      <x:c r="B37" s="24" t="str">
        <x:v>P08-S02-I002-S1-05B-F03</x:v>
      </x:c>
      <x:c r="C37" s="24" t="str">
        <x:v>Create a storyboard concept still for Pilot 8 source video I002-S1-05B, story 5B, frame F03 of 3, representing 7-10s.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paper cone is mounted on one post, the thick yarn runs to the far membrane, and the line is almost taut. Bố holds the padded tension handle. Meo stands beside the straight-line mark.
Exact frozen source action: Bố locks the tension handle into a soft stop. Meo leans near, not against, the far cone as one final gentle tap travels through the line. a tiny sound-wave symbol glows on both posts. Meo says in Vietnamese, with a warm five-year-old voice and clear, delighted delivery: “Bố ơi, tiếng chạy qua rồi!” Keep the exact wording; do not translate it.
Show the approved Part B resolution and warm father-daughter closure without rendering dialogue as text.
Camera adapted from the approved moving shot into one readable still: one medium-wide continuity shot from the same workshop angle, keeping both Whisper Line posts and the tension mark visible. No cuts.
Visible physics/mechanism: correct line tension keeps the yarn straight enough to carry vibration from one cone membrane to the other with less damping.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7" s="25" t="str">
        <x:v>P08-S02-MEO-PRIMARY.REFERENCE.png|P08-S02-MEO-SECONDARY.REFERENCE.png|P08-S02-BO-FRONT.REFERENCE.jpg|P08-S02-BO-SIDE.REFERENCE.jpg</x:v>
      </x:c>
    </x:row>
    <x:row r="38" ht="430" customHeight="1">
      <x:c r="A38" s="23" t="n">
        <x:v>37</x:v>
      </x:c>
      <x:c r="B38" s="24" t="str">
        <x:v>P08-S02-I002-S1-06A-F01</x:v>
      </x:c>
      <x:c r="C38" s="24" t="str">
        <x:v>Create a storyboard concept still for Pilot 8 source video I002-S1-06A, story 6A, frame F01 of 3, representing 0-2s.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a large cork disk and a wooden craft stick lie beside the open invention box.
Exact frozen source action: Meo places the cork disk and craft stick into two padded slots. Bố closes the soft lid with both handles. An orange pulse circles the box.
Show the opening physical state and every prop needed for the coming cause-and-effect.
Camera adapted from the approved moving shot into one readable still: one medium-wide side workshop shot beside the Magic Invention Box and a low motion-test stand. No cuts.
Visible physics/mechanism: an off-center cam converts circular rotation into repeated vertical follower motion; peg height around the circle determines pointer height.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8" s="25" t="str">
        <x:v>P08-S02-MEO-PRIMARY.REFERENCE.png|P08-S02-MEO-SECONDARY.REFERENCE.png|P08-S02-BO-FRONT.REFERENCE.jpg|P08-S02-BO-SIDE.REFERENCE.jpg</x:v>
      </x:c>
    </x:row>
    <x:row r="39" ht="430" customHeight="1">
      <x:c r="A39" s="23" t="n">
        <x:v>38</x:v>
      </x:c>
      <x:c r="B39" s="24" t="str">
        <x:v>P08-S02-I002-S1-06A-F02</x:v>
      </x:c>
      <x:c r="C39" s="24" t="str">
        <x:v>Create a storyboard concept still for Pilot 8 source video I002-S1-06A, story 6A, frame F02 of 3, representing 2-7s.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a large cork disk and a wooden craft stick lie beside the open invention box.
Exact frozen source action: Bố opens the lid. The objects have become one Dancing Pointer: the cork disk is an enclosed rotating cam with an off-center rounded peg, while the craft stick is a vertical follower riding on that peg. Bố turns a padded side crank slowly. As the peg travels upward, the pointer rises; as it turns downward, the pointer sinks. He pauses with the peg near one side. Meo watches the peg position and compares it with the pointer height, realizing the off-center path controls the up-and-down motion.
Freeze the clearest readable instant of the approved causal mechanism, with Meo's observation and Bố's indispensable physical action visible together.
Camera adapted from the approved moving shot into one readable still: one medium-wide side workshop shot beside the Magic Invention Box and a low motion-test stand. No cuts.
Visible physics/mechanism: an off-center cam converts circular rotation into repeated vertical follower motion; peg height around the circle determines pointer height.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39" s="25" t="str">
        <x:v>P08-S02-MEO-PRIMARY.REFERENCE.png|P08-S02-MEO-SECONDARY.REFERENCE.png|P08-S02-BO-FRONT.REFERENCE.jpg|P08-S02-BO-SIDE.REFERENCE.jpg</x:v>
      </x:c>
    </x:row>
    <x:row r="40" ht="430" customHeight="1">
      <x:c r="A40" s="23" t="n">
        <x:v>39</x:v>
      </x:c>
      <x:c r="B40" s="24" t="str">
        <x:v>P08-S02-I002-S1-06A-F03</x:v>
      </x:c>
      <x:c r="C40" s="24" t="str">
        <x:v>Create a storyboard concept still for Pilot 8 source video I002-S1-06A, story 6A, frame F03 of 3, representing 7-10s.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a large cork disk and a wooden craft stick lie beside the open invention box.
Exact frozen source action: Meo traces the circular peg path, then points to the top position where the pointer should reach its highest mark. Bố rotates toward that position and holds just before the top. the pointer is almost at its highest line but has not reached it. End unresolved.
Keep the approved Part A result visibly unresolved; do not solve it early.
Camera adapted from the approved moving shot into one readable still: one medium-wide side workshop shot beside the Magic Invention Box and a low motion-test stand. No cuts.
Visible physics/mechanism: an off-center cam converts circular rotation into repeated vertical follower motion; peg height around the circle determines pointer height.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0" s="25" t="str">
        <x:v>P08-S02-MEO-PRIMARY.REFERENCE.png|P08-S02-MEO-SECONDARY.REFERENCE.png|P08-S02-BO-FRONT.REFERENCE.jpg|P08-S02-BO-SIDE.REFERENCE.jpg</x:v>
      </x:c>
    </x:row>
    <x:row r="41" ht="430" customHeight="1">
      <x:c r="A41" s="23" t="n">
        <x:v>40</x:v>
      </x:c>
      <x:c r="B41" s="24" t="str">
        <x:v>P08-S02-I002-S1-06B-F01</x:v>
      </x:c>
      <x:c r="C41" s="24" t="str">
        <x:v>Create a storyboard concept still for Pilot 8 source video I002-S1-06B, story 6B, frame F01 of 3, representing 0-2s.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cork cam sits in its enclosed housing. Its off-center peg is just below the top position, and the craft-stick pointer is almost at its highest line. Bố holds the padded crank. Meo stands beside the marks.
Exact frozen source action: Meo points to the top of the circular peg path and signals a small forward turn. Bố rotates slowly.
Show the opening physical state and every prop needed for the coming cause-and-effect.
Camera adapted from the approved moving shot into one readable still: one medium-wide continuity shot from the same side, keeping the Dancing Pointer cam window and height marks visible. No cuts.
Visible physics/mechanism: the off-center cam converts rotation into predictable vertical motion; one complete turn produces one complete rise-and-fall cycle.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1" s="25" t="str">
        <x:v>P08-S02-MEO-PRIMARY.REFERENCE.png|P08-S02-MEO-SECONDARY.REFERENCE.png|P08-S02-BO-FRONT.REFERENCE.jpg|P08-S02-BO-SIDE.REFERENCE.jpg</x:v>
      </x:c>
    </x:row>
    <x:row r="42" ht="430" customHeight="1">
      <x:c r="A42" s="23" t="n">
        <x:v>41</x:v>
      </x:c>
      <x:c r="B42" s="24" t="str">
        <x:v>P08-S02-I002-S1-06B-F02</x:v>
      </x:c>
      <x:c r="C42" s="24" t="str">
        <x:v>Create a storyboard concept still for Pilot 8 source video I002-S1-06B, story 6B, frame F02 of 3, representing 2-7s.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cork cam sits in its enclosed housing. Its off-center peg is just below the top position, and the craft-stick pointer is almost at its highest line. Bố holds the padded crank. Meo stands beside the marks.
Exact frozen source action: the peg reaches the top of its circle and lifts the pointer exactly to the highest line. Meo signals continue. Bố keeps turning through one full slow rotation; the pointer descends smoothly, reaches its lowest line, then rises again as the peg returns upward. Meo follows the repeating relationship between peg height and pointer height.
Freeze the clearest readable instant of the approved causal mechanism, with Meo's observation and Bố's indispensable physical action visible together.
Camera adapted from the approved moving shot into one readable still: one medium-wide continuity shot from the same side, keeping the Dancing Pointer cam window and height marks visible. No cuts.
Visible physics/mechanism: the off-center cam converts rotation into predictable vertical motion; one complete turn produces one complete rise-and-fall cycle.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2" s="25" t="str">
        <x:v>P08-S02-MEO-PRIMARY.REFERENCE.png|P08-S02-MEO-SECONDARY.REFERENCE.png|P08-S02-BO-FRONT.REFERENCE.jpg|P08-S02-BO-SIDE.REFERENCE.jpg</x:v>
      </x:c>
    </x:row>
    <x:row r="43" ht="430" customHeight="1">
      <x:c r="A43" s="23" t="n">
        <x:v>42</x:v>
      </x:c>
      <x:c r="B43" s="24" t="str">
        <x:v>P08-S02-I002-S1-06B-F03</x:v>
      </x:c>
      <x:c r="C43" s="24" t="str">
        <x:v>Create a storyboard concept still for Pilot 8 source video I002-S1-06B, story 6B, frame F03 of 3, representing 7-10s.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cork cam sits in its enclosed housing. Its off-center peg is just below the top position, and the craft-stick pointer is almost at its highest line. Bố holds the padded crank. Meo stands beside the marks.
Exact frozen source action: when the peg reaches the top a second time, Meo signals stop. Bố locks the crank into a soft catch. the pointer gives one cheerful glow at the top mark. Meo says in Vietnamese, with a warm five-year-old voice and clear, delighted delivery: “Bố ơi, kim nhảy đúng rồi!” Keep the exact wording; do not translate it.
Show the approved Part B resolution and warm father-daughter closure without rendering dialogue as text.
Camera adapted from the approved moving shot into one readable still: one medium-wide continuity shot from the same side, keeping the Dancing Pointer cam window and height marks visible. No cuts.
Visible physics/mechanism: the off-center cam converts rotation into predictable vertical motion; one complete turn produces one complete rise-and-fall cycle.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3" s="25" t="str">
        <x:v>P08-S02-MEO-PRIMARY.REFERENCE.png|P08-S02-MEO-SECONDARY.REFERENCE.png|P08-S02-BO-FRONT.REFERENCE.jpg|P08-S02-BO-SIDE.REFERENCE.jpg</x:v>
      </x:c>
    </x:row>
    <x:row r="44" ht="430" customHeight="1">
      <x:c r="A44" s="23" t="n">
        <x:v>43</x:v>
      </x:c>
      <x:c r="B44" s="24" t="str">
        <x:v>P08-S02-I002-S1-07A-F01</x:v>
      </x:c>
      <x:c r="C44" s="24" t="str">
        <x:v>Create a storyboard concept still for Pilot 8 source video I002-S1-07A, story 7A, frame F01 of 3, representing 0-2s.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a large plastic jar lid with broad molded threads and a wooden craft stick lie beside the open invention box.
Exact frozen source action: Meo places the lid and craft stick into two padded slots. Bố closes the soft lid with both handles. A green-gold pulse moves around the seams.
Show the opening physical state and every prop needed for the coming cause-and-effect.
Camera adapted from the approved moving shot into one readable still: one medium-wide three-quarter workshop shot beside the Magic Invention Box and a low lift stand. No cuts.
Visible physics/mechanism: screw threads convert rotational motion into linear travel; reversing rotation reverses the platform direction along the same thread.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4" s="25" t="str">
        <x:v>P08-S02-MEO-PRIMARY.REFERENCE.png|P08-S02-MEO-SECONDARY.REFERENCE.png|P08-S02-BO-FRONT.REFERENCE.jpg|P08-S02-BO-SIDE.REFERENCE.jpg</x:v>
      </x:c>
    </x:row>
    <x:row r="45" ht="430" customHeight="1">
      <x:c r="A45" s="23" t="n">
        <x:v>44</x:v>
      </x:c>
      <x:c r="B45" s="24" t="str">
        <x:v>P08-S02-I002-S1-07A-F02</x:v>
      </x:c>
      <x:c r="C45" s="24" t="str">
        <x:v>Create a storyboard concept still for Pilot 8 source video I002-S1-07A, story 7A, frame F02 of 3, representing 2-7s.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a large plastic jar lid with broad molded threads and a wooden craft stick lie beside the open invention box.
Exact frozen source action: Bố opens the lid. The two objects have become one Spiral Lift: the jar lid forms a large threaded turning collar while the craft stick becomes a vertical marker fixed to a rising platform. Bố turns the padded collar clockwise. The platform climbs a little. He reverses counterclockwise and the platform moves back down. Meo compares rotation direction with vertical movement and watches a spiral guide line travel past the fixed height marks.
Freeze the clearest readable instant of the approved causal mechanism, with Meo's observation and Bố's indispensable physical action visible together.
Camera adapted from the approved moving shot into one readable still: one medium-wide three-quarter workshop shot beside the Magic Invention Box and a low lift stand. No cuts.
Visible physics/mechanism: screw threads convert rotational motion into linear travel; reversing rotation reverses the platform direction along the same thread.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5" s="25" t="str">
        <x:v>P08-S02-MEO-PRIMARY.REFERENCE.png|P08-S02-MEO-SECONDARY.REFERENCE.png|P08-S02-BO-FRONT.REFERENCE.jpg|P08-S02-BO-SIDE.REFERENCE.jpg</x:v>
      </x:c>
    </x:row>
    <x:row r="46" ht="430" customHeight="1">
      <x:c r="A46" s="23" t="n">
        <x:v>45</x:v>
      </x:c>
      <x:c r="B46" s="24" t="str">
        <x:v>P08-S02-I002-S1-07A-F03</x:v>
      </x:c>
      <x:c r="C46" s="24" t="str">
        <x:v>Create a storyboard concept still for Pilot 8 source video I002-S1-07A, story 7A, frame F03 of 3, representing 7-10s.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a large plastic jar lid with broad molded threads and a wooden craft stick lie beside the open invention box.
Exact frozen source action: Meo points clockwise and then to the upper star mark, predicting which direction will raise the platform toward it. Bố turns forward again and holds with the platform just below the star. the marker remains one small step short of the target height. End unresolved.
Keep the approved Part A result visibly unresolved; do not solve it early.
Camera adapted from the approved moving shot into one readable still: one medium-wide three-quarter workshop shot beside the Magic Invention Box and a low lift stand. No cuts.
Visible physics/mechanism: screw threads convert rotational motion into linear travel; reversing rotation reverses the platform direction along the same thread.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6" s="25" t="str">
        <x:v>P08-S02-MEO-PRIMARY.REFERENCE.png|P08-S02-MEO-SECONDARY.REFERENCE.png|P08-S02-BO-FRONT.REFERENCE.jpg|P08-S02-BO-SIDE.REFERENCE.jpg</x:v>
      </x:c>
    </x:row>
    <x:row r="47" ht="430" customHeight="1">
      <x:c r="A47" s="23" t="n">
        <x:v>46</x:v>
      </x:c>
      <x:c r="B47" s="24" t="str">
        <x:v>P08-S02-I002-S1-07B-F01</x:v>
      </x:c>
      <x:c r="C47" s="24" t="str">
        <x:v>Create a storyboard concept still for Pilot 8 source video I002-S1-07B, story 7B, frame F01 of 3, representing 0-2s.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craft-stick marker stands on the rising platform just below the upper star mark. Bố holds the padded threaded collar. Meo stands beside the spiral guide.
Exact frozen source action: Meo points clockwise and to the final star mark. Bố keeps the platform still.
Show the opening physical state and every prop needed for the coming cause-and-effect.
Camera adapted from the approved moving shot into one readable still: one medium-wide continuity shot from the same workshop angle, keeping the Spiral Lift collar, platform and star mark visible. No cuts.
Visible physics/mechanism: clockwise rotation advances the threaded collar along its spiral path, converting each turn into a predictable amount of upward travel.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7" s="25" t="str">
        <x:v>P08-S02-MEO-PRIMARY.REFERENCE.png|P08-S02-MEO-SECONDARY.REFERENCE.png|P08-S02-BO-FRONT.REFERENCE.jpg|P08-S02-BO-SIDE.REFERENCE.jpg</x:v>
      </x:c>
    </x:row>
    <x:row r="48" ht="430" customHeight="1">
      <x:c r="A48" s="23" t="n">
        <x:v>47</x:v>
      </x:c>
      <x:c r="B48" s="24" t="str">
        <x:v>P08-S02-I002-S1-07B-F02</x:v>
      </x:c>
      <x:c r="C48" s="24" t="str">
        <x:v>Create a storyboard concept still for Pilot 8 source video I002-S1-07B, story 7B, frame F02 of 3, representing 2-7s.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craft-stick marker stands on the rising platform just below the upper star mark. Bố holds the padded threaded collar. Meo stands beside the spiral guide.
Exact frozen source action: Bố turns the collar slowly clockwise. The threaded platform rises in small steady steps while Meo tracks the spiral guide against the height marks. As the marker approaches the star, she signals slower. Bố makes one final short turn until the platform reaches the marked level exactly.
Freeze the clearest readable instant of the approved causal mechanism, with Meo's observation and Bố's indispensable physical action visible together.
Camera adapted from the approved moving shot into one readable still: one medium-wide continuity shot from the same workshop angle, keeping the Spiral Lift collar, platform and star mark visible. No cuts.
Visible physics/mechanism: clockwise rotation advances the threaded collar along its spiral path, converting each turn into a predictable amount of upward travel.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8" s="25" t="str">
        <x:v>P08-S02-MEO-PRIMARY.REFERENCE.png|P08-S02-MEO-SECONDARY.REFERENCE.png|P08-S02-BO-FRONT.REFERENCE.jpg|P08-S02-BO-SIDE.REFERENCE.jpg</x:v>
      </x:c>
    </x:row>
    <x:row r="49" ht="430" customHeight="1">
      <x:c r="A49" s="23" t="n">
        <x:v>48</x:v>
      </x:c>
      <x:c r="B49" s="24" t="str">
        <x:v>P08-S02-I002-S1-07B-F03</x:v>
      </x:c>
      <x:c r="C49" s="24" t="str">
        <x:v>Create a storyboard concept still for Pilot 8 source video I002-S1-07B, story 7B, frame F03 of 3, representing 7-10s.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craft-stick marker stands on the rising platform just below the upper star mark. Bố holds the padded threaded collar. Meo stands beside the spiral guide.
Exact frozen source action: Meo signals stop. Bố seats the collar into a soft detent that prevents further rotation. The platform remains at the target height. the star mark glows beside the craft-stick marker. Meo says in Vietnamese, with a warm five-year-old voice and clear, delighted delivery: “Bố ơi, thang xoắn lên tới rồi!” Keep the exact wording; do not translate it.
Show the approved Part B resolution and warm father-daughter closure without rendering dialogue as text.
Camera adapted from the approved moving shot into one readable still: one medium-wide continuity shot from the same workshop angle, keeping the Spiral Lift collar, platform and star mark visible. No cuts.
Visible physics/mechanism: clockwise rotation advances the threaded collar along its spiral path, converting each turn into a predictable amount of upward travel.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49" s="25" t="str">
        <x:v>P08-S02-MEO-PRIMARY.REFERENCE.png|P08-S02-MEO-SECONDARY.REFERENCE.png|P08-S02-BO-FRONT.REFERENCE.jpg|P08-S02-BO-SIDE.REFERENCE.jpg</x:v>
      </x:c>
    </x:row>
    <x:row r="50" ht="430" customHeight="1">
      <x:c r="A50" s="23" t="n">
        <x:v>49</x:v>
      </x:c>
      <x:c r="B50" s="24" t="str">
        <x:v>P08-S02-I002-S1-08A-F01</x:v>
      </x:c>
      <x:c r="C50" s="24" t="str">
        <x:v>Create a storyboard concept still for Pilot 8 source video I002-S1-08A, story 8A, frame F01 of 3, representing 0-2s.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a cardboard wheel and a broad cloth ribbon lie beside the open invention box.
Exact frozen source action: Meo places the wheel and ribbon into two padded slots. Bố closes the soft lid with both handles. A blue pulse flashes.
Show the opening physical state and every prop needed for the coming cause-and-effect.
Camera adapted from the approved moving shot into one readable still: one medium-wide side workshop shot beside the Magic Invention Box and a low pulley frame. No cuts.
Visible physics/mechanism: the pulley redirects Bố’s downward pull into upward marker motion; keeping the broad ribbon centered in the groove reduces rubbing and allows smooth travel.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0" s="25" t="str">
        <x:v>P08-S02-MEO-PRIMARY.REFERENCE.png|P08-S02-MEO-SECONDARY.REFERENCE.png|P08-S02-BO-FRONT.REFERENCE.jpg|P08-S02-BO-SIDE.REFERENCE.jpg</x:v>
      </x:c>
    </x:row>
    <x:row r="51" ht="430" customHeight="1">
      <x:c r="A51" s="23" t="n">
        <x:v>50</x:v>
      </x:c>
      <x:c r="B51" s="24" t="str">
        <x:v>P08-S02-I002-S1-08A-F02</x:v>
      </x:c>
      <x:c r="C51" s="24" t="str">
        <x:v>Create a storyboard concept still for Pilot 8 source video I002-S1-08A, story 8A, frame F02 of 3, representing 2-7s.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a cardboard wheel and a broad cloth ribbon lie beside the open invention box.
Exact frozen source action: Bố opens the lid. The objects have become one Star Lifter: the cardboard wheel is enclosed as a pulley, and the broad ribbon runs over it to a star marker inside a guide track. Bố pulls the padded ribbon handle downward while the star marker rises. When he lets the ribbon drift partly out of the wheel groove, the ribbon rubs the rim and the marker barely moves. He reseats it in the center groove and the motion becomes smooth again. Meo compares the off-groove drag with the centered path.
Freeze the clearest readable instant of the approved causal mechanism, with Meo's observation and Bố's indispensable physical action visible together.
Camera adapted from the approved moving shot into one readable still: one medium-wide side workshop shot beside the Magic Invention Box and a low pulley frame. No cuts.
Visible physics/mechanism: the pulley redirects Bố’s downward pull into upward marker motion; keeping the broad ribbon centered in the groove reduces rubbing and allows smooth travel.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1" s="25" t="str">
        <x:v>P08-S02-MEO-PRIMARY.REFERENCE.png|P08-S02-MEO-SECONDARY.REFERENCE.png|P08-S02-BO-FRONT.REFERENCE.jpg|P08-S02-BO-SIDE.REFERENCE.jpg</x:v>
      </x:c>
    </x:row>
    <x:row r="52" ht="430" customHeight="1">
      <x:c r="A52" s="23" t="n">
        <x:v>51</x:v>
      </x:c>
      <x:c r="B52" s="24" t="str">
        <x:v>P08-S02-I002-S1-08A-F03</x:v>
      </x:c>
      <x:c r="C52" s="24" t="str">
        <x:v>Create a storyboard concept still for Pilot 8 source video I002-S1-08A, story 8A, frame F03 of 3, representing 7-10s.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a cardboard wheel and a broad cloth ribbon lie beside the open invention box.
Exact frozen source action: Meo points to the wheel groove, then traces the ribbon path over the top and downward to Bố’s handle. Bố centers the ribbon and holds before lifting farther. the star marker remains halfway up the guide track. End unresolved.
Keep the approved Part A result visibly unresolved; do not solve it early.
Camera adapted from the approved moving shot into one readable still: one medium-wide side workshop shot beside the Magic Invention Box and a low pulley frame. No cuts.
Visible physics/mechanism: the pulley redirects Bố’s downward pull into upward marker motion; keeping the broad ribbon centered in the groove reduces rubbing and allows smooth travel.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2" s="25" t="str">
        <x:v>P08-S02-MEO-PRIMARY.REFERENCE.png|P08-S02-MEO-SECONDARY.REFERENCE.png|P08-S02-BO-FRONT.REFERENCE.jpg|P08-S02-BO-SIDE.REFERENCE.jpg</x:v>
      </x:c>
    </x:row>
    <x:row r="53" ht="430" customHeight="1">
      <x:c r="A53" s="23" t="n">
        <x:v>52</x:v>
      </x:c>
      <x:c r="B53" s="24" t="str">
        <x:v>P08-S02-I002-S1-08B-F01</x:v>
      </x:c>
      <x:c r="C53" s="24" t="str">
        <x:v>Create a storyboard concept still for Pilot 8 source video I002-S1-08B, story 8B, frame F01 of 3, representing 0-2s.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lightweight star marker is halfway up its shallow track. The broad ribbon is centered in the pulley groove. Bố holds the padded downward handle. Meo stands beside the guide marks.
Exact frozen source action: Meo points to the centered ribbon and then to the top star stop. Bố holds the wheel steady.
Show the opening physical state and every prop needed for the coming cause-and-effect.
Camera adapted from the approved moving shot into one readable still: one medium-wide continuity shot from the same side, keeping the Star Lifter pulley, ribbon groove and guide track visible. No cuts.
Visible physics/mechanism: a pulley changes the direction of applied force; pulling one ribbon end downward raises the attached marker while the centered groove keeps motion smooth.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3" s="25" t="str">
        <x:v>P08-S02-MEO-PRIMARY.REFERENCE.png|P08-S02-MEO-SECONDARY.REFERENCE.png|P08-S02-BO-FRONT.REFERENCE.jpg|P08-S02-BO-SIDE.REFERENCE.jpg</x:v>
      </x:c>
    </x:row>
    <x:row r="54" ht="430" customHeight="1">
      <x:c r="A54" s="23" t="n">
        <x:v>53</x:v>
      </x:c>
      <x:c r="B54" s="24" t="str">
        <x:v>P08-S02-I002-S1-08B-F02</x:v>
      </x:c>
      <x:c r="C54" s="24" t="str">
        <x:v>Create a storyboard concept still for Pilot 8 source video I002-S1-08B, story 8B, frame F02 of 3, representing 2-7s.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lightweight star marker is halfway up its shallow track. The broad ribbon is centered in the pulley groove. Bố holds the padded downward handle. Meo stands beside the guide marks.
Exact frozen source action: Bố pulls the padded handle slowly downward. The pulley rotates while the opposite ribbon segment lifts the star marker smoothly along the track. Meo watches the ribbon remain centered and signals him to continue. The marker rises without rubbing or swaying.
Freeze the clearest readable instant of the approved causal mechanism, with Meo's observation and Bố's indispensable physical action visible together.
Camera adapted from the approved moving shot into one readable still: one medium-wide continuity shot from the same side, keeping the Star Lifter pulley, ribbon groove and guide track visible. No cuts.
Visible physics/mechanism: a pulley changes the direction of applied force; pulling one ribbon end downward raises the attached marker while the centered groove keeps motion smooth.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4" s="25" t="str">
        <x:v>P08-S02-MEO-PRIMARY.REFERENCE.png|P08-S02-MEO-SECONDARY.REFERENCE.png|P08-S02-BO-FRONT.REFERENCE.jpg|P08-S02-BO-SIDE.REFERENCE.jpg</x:v>
      </x:c>
    </x:row>
    <x:row r="55" ht="430" customHeight="1">
      <x:c r="A55" s="23" t="n">
        <x:v>54</x:v>
      </x:c>
      <x:c r="B55" s="24" t="str">
        <x:v>P08-S02-I002-S1-08B-F03</x:v>
      </x:c>
      <x:c r="C55" s="24" t="str">
        <x:v>Create a storyboard concept still for Pilot 8 source video I002-S1-08B, story 8B, frame F03 of 3, representing 7-10s.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lightweight star marker is halfway up its shallow track. The broad ribbon is centered in the pulley groove. Bố holds the padded downward handle. Meo stands beside the guide marks.
Exact frozen source action: when the marker reaches the padded top stop, Meo signals stop. Bố secures the handle in a low soft catch so the ribbon cannot unwind. the raised star glows warmly. Meo says in Vietnamese, with a warm five-year-old voice and clear, delighted delivery: “Bố ơi, ngôi sao lên rồi!” Keep the exact wording; do not translate it.
Show the approved Part B resolution and warm father-daughter closure without rendering dialogue as text.
Camera adapted from the approved moving shot into one readable still: one medium-wide continuity shot from the same side, keeping the Star Lifter pulley, ribbon groove and guide track visible. No cuts.
Visible physics/mechanism: a pulley changes the direction of applied force; pulling one ribbon end downward raises the attached marker while the centered groove keeps motion smooth.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5" s="25" t="str">
        <x:v>P08-S02-MEO-PRIMARY.REFERENCE.png|P08-S02-MEO-SECONDARY.REFERENCE.png|P08-S02-BO-FRONT.REFERENCE.jpg|P08-S02-BO-SIDE.REFERENCE.jpg</x:v>
      </x:c>
    </x:row>
    <x:row r="56" ht="430" customHeight="1">
      <x:c r="A56" s="23" t="n">
        <x:v>55</x:v>
      </x:c>
      <x:c r="B56" s="24" t="str">
        <x:v>P08-S02-I002-S1-09A-F01</x:v>
      </x:c>
      <x:c r="C56" s="24" t="str">
        <x:v>Create a storyboard concept still for Pilot 8 source video I002-S1-09A, story 9A, frame F01 of 3, representing 0-2s.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a soft foam ball and a shallow paper bowl lie beside the open invention box.
Exact frozen source action: Meo places the ball and bowl into two padded slots. Bố closes the soft lid with both handles. An indigo pulse travels around the box.
Show the opening physical state and every prop needed for the coming cause-and-effect.
Camera adapted from the approved moving shot into one readable still: one medium-wide three-quarter workshop shot beside the Magic Invention Box and a circular test tray. No cuts.
Visible physics/mechanism: gravity pulls the ball toward the lowest part of the tilted bowl; continuously changing the low point around the curved track guides the ball along a circular path.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6" s="25" t="str">
        <x:v>P08-S02-MEO-PRIMARY.REFERENCE.png|P08-S02-MEO-SECONDARY.REFERENCE.png|P08-S02-BO-FRONT.REFERENCE.jpg|P08-S02-BO-SIDE.REFERENCE.jpg</x:v>
      </x:c>
    </x:row>
    <x:row r="57" ht="430" customHeight="1">
      <x:c r="A57" s="23" t="n">
        <x:v>56</x:v>
      </x:c>
      <x:c r="B57" s="24" t="str">
        <x:v>P08-S02-I002-S1-09A-F02</x:v>
      </x:c>
      <x:c r="C57" s="24" t="str">
        <x:v>Create a storyboard concept still for Pilot 8 source video I002-S1-09A, story 9A, frame F02 of 3, representing 2-7s.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a soft foam ball and a shallow paper bowl lie beside the open invention box.
Exact frozen source action: Bố opens the lid. The two objects have become one Orbit Mixer: the paper bowl forms a curved circular track and the foam ball becomes a glowing moon. Bố tilts the padded bowl slightly toward one side; the moon rolls down and crosses the center. He changes to a circular tilt; the moon begins following the curved rim instead of cutting across the middle. Meo compares the straight crossing with the circular path and notices that moving tilt keeps the moon near the orbit ring.
Freeze the clearest readable instant of the approved causal mechanism, with Meo's observation and Bố's indispensable physical action visible together.
Camera adapted from the approved moving shot into one readable still: one medium-wide three-quarter workshop shot beside the Magic Invention Box and a circular test tray. No cuts.
Visible physics/mechanism: gravity pulls the ball toward the lowest part of the tilted bowl; continuously changing the low point around the curved track guides the ball along a circular path.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7" s="25" t="str">
        <x:v>P08-S02-MEO-PRIMARY.REFERENCE.png|P08-S02-MEO-SECONDARY.REFERENCE.png|P08-S02-BO-FRONT.REFERENCE.jpg|P08-S02-BO-SIDE.REFERENCE.jpg</x:v>
      </x:c>
    </x:row>
    <x:row r="58" ht="430" customHeight="1">
      <x:c r="A58" s="23" t="n">
        <x:v>57</x:v>
      </x:c>
      <x:c r="B58" s="24" t="str">
        <x:v>P08-S02-I002-S1-09A-F03</x:v>
      </x:c>
      <x:c r="C58" s="24" t="str">
        <x:v>Create a storyboard concept still for Pilot 8 source video I002-S1-09A, story 9A, frame F03 of 3, representing 7-10s.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a soft foam ball and a shallow paper bowl lie beside the open invention box.
Exact frozen source action: Meo traces the circular ring and signals Bố to keep the tilt small and moving around the bowl. Bố starts the circular motion and holds before completing a full orbit. the foam moon is halfway around the ring. End unresolved.
Keep the approved Part A result visibly unresolved; do not solve it early.
Camera adapted from the approved moving shot into one readable still: one medium-wide three-quarter workshop shot beside the Magic Invention Box and a circular test tray. No cuts.
Visible physics/mechanism: gravity pulls the ball toward the lowest part of the tilted bowl; continuously changing the low point around the curved track guides the ball along a circular path.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8" s="25" t="str">
        <x:v>P08-S02-MEO-PRIMARY.REFERENCE.png|P08-S02-MEO-SECONDARY.REFERENCE.png|P08-S02-BO-FRONT.REFERENCE.jpg|P08-S02-BO-SIDE.REFERENCE.jpg</x:v>
      </x:c>
    </x:row>
    <x:row r="59" ht="430" customHeight="1">
      <x:c r="A59" s="23" t="n">
        <x:v>58</x:v>
      </x:c>
      <x:c r="B59" s="24" t="str">
        <x:v>P08-S02-I002-S1-09B-F01</x:v>
      </x:c>
      <x:c r="C59" s="24" t="str">
        <x:v>Create a storyboard concept still for Pilot 8 source video I002-S1-09B, story 9B, frame F01 of 3, representing 0-2s.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foam moon is halfway around the circular ring inside the paper-bowl track. Bố holds both padded bowl handles. Meo stands beside the orbit marks.
Exact frozen source action: Meo traces the remaining half circle and signals Bố to continue the same gentle moving tilt. Bố keeps the bowl low on the table.
Show the opening physical state and every prop needed for the coming cause-and-effect.
Camera adapted from the approved moving shot into one readable still: one medium-wide continuity shot from the same workshop angle, keeping the Orbit Mixer bowl and marked orbit ring visible. No cuts.
Visible physics/mechanism: continuously moving the bowl’s lowest point around the curved track lets gravity guide the contained foam ball along the same circular route.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59" s="25" t="str">
        <x:v>P08-S02-MEO-PRIMARY.REFERENCE.png|P08-S02-MEO-SECONDARY.REFERENCE.png|P08-S02-BO-FRONT.REFERENCE.jpg|P08-S02-BO-SIDE.REFERENCE.jpg</x:v>
      </x:c>
    </x:row>
    <x:row r="60" ht="430" customHeight="1">
      <x:c r="A60" s="23" t="n">
        <x:v>59</x:v>
      </x:c>
      <x:c r="B60" s="24" t="str">
        <x:v>P08-S02-I002-S1-09B-F02</x:v>
      </x:c>
      <x:c r="C60" s="24" t="str">
        <x:v>Create a storyboard concept still for Pilot 8 source video I002-S1-09B, story 9B, frame F02 of 3, representing 2-7s.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foam moon is halfway around the circular ring inside the paper-bowl track. Bố holds both padded bowl handles. Meo stands beside the orbit marks.
Exact frozen source action: Bố shifts the lowest point smoothly around the bowl in a small circular motion. The foam moon follows the curved track, stays near the marked ring and completes one full orbit without crossing the center. Meo follows its position and signals a slower final movement as it approaches the starting star.
Freeze the clearest readable instant of the approved causal mechanism, with Meo's observation and Bố's indispensable physical action visible together.
Camera adapted from the approved moving shot into one readable still: one medium-wide continuity shot from the same workshop angle, keeping the Orbit Mixer bowl and marked orbit ring visible. No cuts.
Visible physics/mechanism: continuously moving the bowl’s lowest point around the curved track lets gravity guide the contained foam ball along the same circular route.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0" s="25" t="str">
        <x:v>P08-S02-MEO-PRIMARY.REFERENCE.png|P08-S02-MEO-SECONDARY.REFERENCE.png|P08-S02-BO-FRONT.REFERENCE.jpg|P08-S02-BO-SIDE.REFERENCE.jpg</x:v>
      </x:c>
    </x:row>
    <x:row r="61" ht="430" customHeight="1">
      <x:c r="A61" s="23" t="n">
        <x:v>60</x:v>
      </x:c>
      <x:c r="B61" s="24" t="str">
        <x:v>P08-S02-I002-S1-09B-F03</x:v>
      </x:c>
      <x:c r="C61" s="24" t="str">
        <x:v>Create a storyboard concept still for Pilot 8 source video I002-S1-09B, story 9B, frame F03 of 3, representing 7-10s.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foam moon is halfway around the circular ring inside the paper-bowl track. Bố holds both padded bowl handles. Meo stands beside the orbit marks.
Exact frozen source action: when the moon reaches the starting mark, Meo signals stop. Bố levels the bowl and seats both handles into soft rests. The moon settles gently at the star. a ring of tiny enclosed lights glows around the bowl. Meo says in Vietnamese, with a warm five-year-old voice and clear, delighted delivery: “Bố ơi, mặt trăng quay tròn rồi!” Keep the exact wording; do not translate it.
Show the approved Part B resolution and warm father-daughter closure without rendering dialogue as text.
Camera adapted from the approved moving shot into one readable still: one medium-wide continuity shot from the same workshop angle, keeping the Orbit Mixer bowl and marked orbit ring visible. No cuts.
Visible physics/mechanism: continuously moving the bowl’s lowest point around the curved track lets gravity guide the contained foam ball along the same circular route.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1" s="25" t="str">
        <x:v>P08-S02-MEO-PRIMARY.REFERENCE.png|P08-S02-MEO-SECONDARY.REFERENCE.png|P08-S02-BO-FRONT.REFERENCE.jpg|P08-S02-BO-SIDE.REFERENCE.jpg</x:v>
      </x:c>
    </x:row>
    <x:row r="62" ht="430" customHeight="1">
      <x:c r="A62" s="23" t="n">
        <x:v>61</x:v>
      </x:c>
      <x:c r="B62" s="24" t="str">
        <x:v>P08-S02-I002-S1-10A-F01</x:v>
      </x:c>
      <x:c r="C62" s="24" t="str">
        <x:v>Create a storyboard concept still for Pilot 8 source video I002-S1-10A, story 10A, frame F01 of 3, representing 0-2s.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a soft foam craft roller and a thick paper card lie beside the open invention box.
Exact frozen source action: Meo places the roller and card into two padded slots. Bố closes the soft lid with both handles. The box gives a rainbow pulse.
Show the opening physical state and every prop needed for the coming cause-and-effect.
Camera adapted from the approved moving shot into one readable still: one medium-wide front three-quarter workshop shot beside the Magic Invention Box and a flat print board. No cuts.
Visible physics/mechanism: even pressure across a parallel roller keeps full contact with the card; uneven pressure lifts one side and produces a faint incomplete transfer.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2" s="25" t="str">
        <x:v>P08-S02-MEO-PRIMARY.REFERENCE.png|P08-S02-MEO-SECONDARY.REFERENCE.png|P08-S02-BO-FRONT.REFERENCE.jpg|P08-S02-BO-SIDE.REFERENCE.jpg</x:v>
      </x:c>
    </x:row>
    <x:row r="63" ht="430" customHeight="1">
      <x:c r="A63" s="23" t="n">
        <x:v>62</x:v>
      </x:c>
      <x:c r="B63" s="24" t="str">
        <x:v>P08-S02-I002-S1-10A-F02</x:v>
      </x:c>
      <x:c r="C63" s="24" t="str">
        <x:v>Create a storyboard concept still for Pilot 8 source video I002-S1-10A, story 10A, frame F02 of 3, representing 2-7s.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a soft foam craft roller and a thick paper card lie beside the open invention box.
Exact frozen source action: Bố opens the lid. The objects have become one Idea Printer: the blank card feeds beneath a foam roller with magical color inside an enclosed print plate. Bố pushes the padded roller handle forward while pressing more on the left side. A star-and-gear picture appears with a faint right edge. He returns the roller to the start line without printing again. Meo compares the faint right edge with the two end gaps and notices equal gaps keep the roller parallel.
Freeze the clearest readable instant of the approved causal mechanism, with Meo's observation and Bố's indispensable physical action visible together.
Camera adapted from the approved moving shot into one readable still: one medium-wide front three-quarter workshop shot beside the Magic Invention Box and a flat print board. No cuts.
Visible physics/mechanism: even pressure across a parallel roller keeps full contact with the card; uneven pressure lifts one side and produces a faint incomplete transfer.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3" s="25" t="str">
        <x:v>P08-S02-MEO-PRIMARY.REFERENCE.png|P08-S02-MEO-SECONDARY.REFERENCE.png|P08-S02-BO-FRONT.REFERENCE.jpg|P08-S02-BO-SIDE.REFERENCE.jpg</x:v>
      </x:c>
    </x:row>
    <x:row r="64" ht="430" customHeight="1">
      <x:c r="A64" s="23" t="n">
        <x:v>63</x:v>
      </x:c>
      <x:c r="B64" s="24" t="str">
        <x:v>P08-S02-I002-S1-10A-F03</x:v>
      </x:c>
      <x:c r="C64" s="24" t="str">
        <x:v>Create a storyboard concept still for Pilot 8 source video I002-S1-10A, story 10A, frame F03 of 3, representing 7-10s.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a soft foam craft roller and a thick paper card lie beside the open invention box.
Exact frozen source action: Meo points to both equal-height guide marks and signals Bố to hold the roller level for a complete pass. Bố aligns both ends and pauses at the start line. the card is ready for the final even print, but the picture is not complete. End unresolved.
Keep the approved Part A result visibly unresolved; do not solve it early.
Camera adapted from the approved moving shot into one readable still: one medium-wide front three-quarter workshop shot beside the Magic Invention Box and a flat print board. No cuts.
Visible physics/mechanism: even pressure across a parallel roller keeps full contact with the card; uneven pressure lifts one side and produces a faint incomplete transfer.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4" s="25" t="str">
        <x:v>P08-S02-MEO-PRIMARY.REFERENCE.png|P08-S02-MEO-SECONDARY.REFERENCE.png|P08-S02-BO-FRONT.REFERENCE.jpg|P08-S02-BO-SIDE.REFERENCE.jpg</x:v>
      </x:c>
    </x:row>
    <x:row r="65" ht="430" customHeight="1">
      <x:c r="A65" s="23" t="n">
        <x:v>64</x:v>
      </x:c>
      <x:c r="B65" s="24" t="str">
        <x:v>P08-S02-I002-S1-10B-F01</x:v>
      </x:c>
      <x:c r="C65" s="24" t="str">
        <x:v>Create a storyboard concept still for Pilot 8 source video I002-S1-10B, story 10B, frame F01 of 3, representing 0-2s.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card rests beneath the foam roller at the start line. Both roller ends are aligned with equal-height guide marks. Bố holds the padded handle. Meo stands beside the two guides.
Exact frozen source action: Meo points to both equal gaps and signals Bố to keep the roller level through the whole pass. Bố centers his hands on the padded handle.
Show the opening physical state and every prop needed for the coming cause-and-effect.
Camera adapted from the approved moving shot into one readable still: one medium-wide continuity shot from the same front angle, keeping the Idea Printer, guide marks and blank portion of the card visible. No cuts.
Visible physics/mechanism: keeping the roller parallel and pressure even maintains full-surface contact, producing a uniform transfer across the card.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5" s="25" t="str">
        <x:v>P08-S02-MEO-PRIMARY.REFERENCE.png|P08-S02-MEO-SECONDARY.REFERENCE.png|P08-S02-BO-FRONT.REFERENCE.jpg|P08-S02-BO-SIDE.REFERENCE.jpg</x:v>
      </x:c>
    </x:row>
    <x:row r="66" ht="430" customHeight="1">
      <x:c r="A66" s="23" t="n">
        <x:v>65</x:v>
      </x:c>
      <x:c r="B66" s="24" t="str">
        <x:v>P08-S02-I002-S1-10B-F02</x:v>
      </x:c>
      <x:c r="C66" s="24" t="str">
        <x:v>Create a storyboard concept still for Pilot 8 source video I002-S1-10B, story 10B, frame F02 of 3, representing 2-7s.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card rests beneath the foam roller at the start line. Both roller ends are aligned with equal-height guide marks. Bố holds the padded handle. Meo stands beside the two guides.
Exact frozen source action: Bố pushes the roller forward slowly while maintaining equal pressure. The enclosed print plate contacts the card evenly, revealing a crisp star-and-gear invention emblem from left to right. Meo watches both guide gaps remain equal and signals him to continue until the roller clears the final edge.
Freeze the clearest readable instant of the approved causal mechanism, with Meo's observation and Bố's indispensable physical action visible together.
Camera adapted from the approved moving shot into one readable still: one medium-wide continuity shot from the same front angle, keeping the Idea Printer, guide marks and blank portion of the card visible. No cuts.
Visible physics/mechanism: keeping the roller parallel and pressure even maintains full-surface contact, producing a uniform transfer across the card.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6" s="25" t="str">
        <x:v>P08-S02-MEO-PRIMARY.REFERENCE.png|P08-S02-MEO-SECONDARY.REFERENCE.png|P08-S02-BO-FRONT.REFERENCE.jpg|P08-S02-BO-SIDE.REFERENCE.jpg</x:v>
      </x:c>
    </x:row>
    <x:row r="67" ht="430" customHeight="1">
      <x:c r="A67" s="26" t="n">
        <x:v>66</x:v>
      </x:c>
      <x:c r="B67" s="27" t="str">
        <x:v>P08-S02-I002-S1-10B-F03</x:v>
      </x:c>
      <x:c r="C67" s="27" t="str">
        <x:v>Create a storyboard concept still for Pilot 8 source video I002-S1-10B, story 10B, frame F03 of 3, representing 7-10s.
Create exactly one single 16:9 landscape still image, not a video and not a multi-panel storyboard.
Tab visual-style lock: Polished warm 3D cartoon workshop fantasy with rounded wooden forms, tactile paper-and-foam materials, soft magical pulses, cinematic yet child-safe lighting, identity-faithful faces, and no photorealism.
Meo identity and completely new tab wardrobe: Five-year-old Vietnamese girl; identity-reference-faithful face; twin low pigtails with matte tangerine bands; apricot short-sleeve crew T-shirt under a turquoise sleeveless maker romper with rounded bib seam, fitted waist, two flat stitched gear-shaped pockets and cuffed mid-thigh shorts; sunflower ankle socks; cream-and-turquoise Velcro sneakers with mustard heel tabs and gum soles. No copied reference/source clothing or loose accessory.
Bố identity and completely new tab wardrobe: Vietnamese father; identity-reference-faithful face; short black side-parted hair and small black-rimmed rectangular glasses; burnt-orange short-sleeve collarless snap-front workshop overshirt over an ivory crew T-shirt, flat rectangular chest pockets; deep-pine straight work trousers with flat knee panels; cream-and-mustard low-top sneakers with burnt-orange heel tabs. No copied reference/source clothing, apron, loose cord, bag or tool.
Use P08-S02-MEO-PRIMARY.REFERENCE.png, P08-S02-MEO-SECONDARY.REFERENCE.png, P08-S02-BO-FRONT.REFERENCE.jpg, and P08-S02-BO-SIDE.REFERENCE.jpg for identity only. 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
Wardrobe-story fit: Magic Inventor workshop-makers: compact rounded workwear with flat pockets and secure closures for tabletop invention tests; no apron ties, loose cords, tools, bags or sharp hardware. Meo apricot, turquoise, sunflower and cream; Bố burnt orange, ivory, deep pine, mustard and cream.
Scene/opening continuity from the approved source: the card rests beneath the foam roller at the start line. Both roller ends are aligned with equal-height guide marks. Bố holds the padded handle. Meo stands beside the two guides.
Exact frozen source action: Bố lifts only the padded handle after the roller reaches its soft stop. Meo points to the complete picture, then to the Magic Invention Box as it gives one gentle matching glow. the finished card shines softly. Meo says in Vietnamese, with a warm five-year-old voice and clear, delighted delivery: “Bố ơi, ý tưởng in xong rồi!” Keep the exact wording; do not translate it.
Show the approved Part B resolution and warm father-daughter closure without rendering dialogue as text.
Camera adapted from the approved moving shot into one readable still: one medium-wide continuity shot from the same front angle, keeping the Idea Printer, guide marks and blank portion of the card visible. No cuts.
Visible physics/mechanism: keeping the roller parallel and pressure even maintains full-surface contact, producing a uniform transfer across the card.
Source-authorized supporting-character rule: No source-authorized named supporting character is required in this clip.
Storyboard clarity and safety: keep faces, relevant hands, handles, contact points, scale anchors, causal clue and end-state evidence readable in the central safe area; maintain stable child-safe materials and the approved environment.
Do not invent any new action, prop, outfit or unapproved character. Never copy clothing from the source text or attached identity references. No fear, dangerous motion, fall, injury, approaching insect, readable text, subtitle, speech bubble, label, logo, watermark, collage, split screen, duplicated character, copyrighted character or franchise.</x:v>
      </x:c>
      <x:c r="D67" s="28" t="str">
        <x:v>P08-S02-MEO-PRIMARY.REFERENCE.png|P08-S02-MEO-SECONDARY.REFERENCE.png|P08-S02-BO-FRONT.REFERENCE.jpg|P08-S02-BO-SIDE.REFERENCE.jpg</x:v>
      </x:c>
    </x:row>
  </x:sheetData>
  <x:pageMargins left="0.7" right="0.7" top="0.75" bottom="0.75" header="0.3" footer="0.3"/>
  <x:legacyDrawing xmlns:r="http://schemas.openxmlformats.org/officeDocument/2006/relationships" r:id="R3bca19075d9641c1"/>
  <x:tableParts count="1">
    <x:tablePart xmlns:r="http://schemas.openxmlformats.org/officeDocument/2006/relationships" r:id="Rda8d1447cd134c0f"/>
  </x:tableParts>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40" hidden="0" customWidth="1"/>
    <x:col min="2" max="2" width="76" hidden="0" customWidth="1"/>
  </x:cols>
  <x:sheetData>
    <x:row r="1">
      <x:c r="A1" s="37" t="str">
        <x:v>key</x:v>
      </x:c>
      <x:c r="B1" s="38" t="str">
        <x:v>value</x:v>
      </x:c>
    </x:row>
    <x:row r="2">
      <x:c r="A2" s="39" t="str">
        <x:v>timeout_sec</x:v>
      </x:c>
      <x:c r="B2" s="40" t="str">
        <x:v>900</x:v>
      </x:c>
    </x:row>
    <x:row r="3">
      <x:c r="A3" s="39" t="str">
        <x:v>max_retries</x:v>
      </x:c>
      <x:c r="B3" s="40" t="str">
        <x:v>2</x:v>
      </x:c>
    </x:row>
    <x:row r="4">
      <x:c r="A4" s="39" t="str">
        <x:v>delay_min_sec</x:v>
      </x:c>
      <x:c r="B4" s="40" t="str">
        <x:v>18</x:v>
      </x:c>
    </x:row>
    <x:row r="5">
      <x:c r="A5" s="39" t="str">
        <x:v>delay_max_sec</x:v>
      </x:c>
      <x:c r="B5" s="40" t="str">
        <x:v>32</x:v>
      </x:c>
    </x:row>
    <x:row r="6">
      <x:c r="A6" s="39" t="str">
        <x:v>safety_cooldown_sec</x:v>
      </x:c>
      <x:c r="B6" s="40" t="str">
        <x:v>8-12</x:v>
      </x:c>
    </x:row>
    <x:row r="7">
      <x:c r="A7" s="39" t="str">
        <x:v>max_input_images</x:v>
      </x:c>
      <x:c r="B7" s="40" t="str">
        <x:v>5</x:v>
      </x:c>
    </x:row>
    <x:row r="8">
      <x:c r="A8" s="39" t="str">
        <x:v>continue_on_error</x:v>
      </x:c>
      <x:c r="B8" s="40" t="str">
        <x:v>false</x:v>
      </x:c>
    </x:row>
    <x:row r="9">
      <x:c r="A9" s="39" t="str">
        <x:v>rerun_done</x:v>
      </x:c>
      <x:c r="B9" s="40" t="str">
        <x:v>false</x:v>
      </x:c>
    </x:row>
    <x:row r="10">
      <x:c r="A10" s="39" t="str">
        <x:v>output_destination_mode</x:v>
      </x:c>
      <x:c r="B10" s="40" t="str">
        <x:v>downloads</x:v>
      </x:c>
    </x:row>
    <x:row r="11">
      <x:c r="A11" s="39" t="str">
        <x:v>output_downloads_subfolder</x:v>
      </x:c>
      <x:c r="B11" s="40" t="str">
        <x:v>Duc Auto ChatGPT/Pilot-08/S1-02</x:v>
      </x:c>
    </x:row>
    <x:row r="12">
      <x:c r="A12" s="39" t="str">
        <x:v>image_filename_pattern</x:v>
      </x:c>
      <x:c r="B12" s="40" t="str">
        <x:v>{job_id}</x:v>
      </x:c>
    </x:row>
    <x:row r="13">
      <x:c r="A13" s="39" t="str">
        <x:v>collision_policy</x:v>
      </x:c>
      <x:c r="B13" s="40" t="str">
        <x:v>uniquify</x:v>
      </x:c>
    </x:row>
    <x:row r="14">
      <x:c r="A14" s="39" t="str">
        <x:v>save_images</x:v>
      </x:c>
      <x:c r="B14" s="40" t="str">
        <x:v>true</x:v>
      </x:c>
    </x:row>
    <x:row r="15">
      <x:c r="A15" s="39" t="str">
        <x:v>save_result_xlsx</x:v>
      </x:c>
      <x:c r="B15" s="40" t="str">
        <x:v>true</x:v>
      </x:c>
    </x:row>
    <x:row r="16">
      <x:c r="A16" s="39" t="str">
        <x:v>save_audit_jsonl</x:v>
      </x:c>
      <x:c r="B16" s="40" t="str">
        <x:v>true</x:v>
      </x:c>
    </x:row>
    <x:row r="17">
      <x:c r="A17" s="39" t="str">
        <x:v>result_filename_pattern</x:v>
      </x:c>
      <x:c r="B17" s="40" t="str">
        <x:v>Pilot08-S02.IMAGE-QUEUE__results__v{version}.xlsx</x:v>
      </x:c>
    </x:row>
    <x:row r="18">
      <x:c r="A18" s="41" t="str">
        <x:v>audit_filename</x:v>
      </x:c>
      <x:c r="B18" s="42" t="str">
        <x:v>Pilot08-S02.IMAGE-QUEUE__audit.jsonl</x:v>
      </x:c>
    </x:row>
  </x:sheetData>
  <x:pageMargins left="0.7" right="0.7" top="0.75" bottom="0.75" header="0.3" footer="0.3"/>
  <x:legacyDrawing xmlns:r="http://schemas.openxmlformats.org/officeDocument/2006/relationships" r:id="Rd01e3629c53b440a"/>
  <x:tableParts count="1">
    <x:tablePart xmlns:r="http://schemas.openxmlformats.org/officeDocument/2006/relationships" r:id="R3778efa1a69541b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18" hidden="0" customWidth="1"/>
  </x:cols>
  <x:sheetData>
    <x:row r="1" ht="32" customHeight="1">
      <x:c r="A1" s="43" t="str">
        <x:v>Pilot 8 · S1_02 Magic Inventor · ChatGPT Visual Preproduction Queue</x:v>
      </x:c>
      <x:c r="B1" s="43"/>
    </x:row>
    <x:row r="3" ht="54" customHeight="1">
      <x:c r="A3" s="48" t="str">
        <x:v>Boundary</x:v>
      </x:c>
      <x:c r="B3" s="49" t="str">
        <x:v>PREPARE_INPUT_ONLY — no Extension, ChatGPT generation, Google Flow, or live submission.</x:v>
      </x:c>
    </x:row>
    <x:row r="4" ht="54" customHeight="1">
      <x:c r="A4" s="50" t="str">
        <x:v>Source</x:v>
      </x:c>
      <x:c r="B4" s="51" t="str">
        <x:v>Growing_with_Meo_V2_260817 · S1_02 Magic Inventor · sheetId 26081722</x:v>
      </x:c>
    </x:row>
    <x:row r="5" ht="54" customHeight="1">
      <x:c r="A5" s="50" t="str">
        <x:v>Source snapshot</x:v>
      </x:c>
      <x:c r="B5" s="51" t="str">
        <x:v>Pilot08-S02.SOURCE.csv · SHA-256 44E685BD43252B4196A31737CD4847EAEC3BB61D2E7A4A0552F86FD8FD0A333A</x:v>
      </x:c>
    </x:row>
    <x:row r="6" ht="54" customHeight="1">
      <x:c r="A6" s="50" t="str">
        <x:v>Queue</x:v>
      </x:c>
      <x:c r="B6" s="51" t="str">
        <x:v>66 jobs = 6 concepts + 60 storyboard stills.</x:v>
      </x:c>
    </x:row>
    <x:row r="7" ht="54" customHeight="1">
      <x:c r="A7" s="50" t="str">
        <x:v>Timing schemas</x:v>
      </x:c>
      <x:c r="B7" s="51" t="str">
        <x:v>{"STANDARD_0-2_2-7_7-9_9-10":20}</x:v>
      </x:c>
    </x:row>
    <x:row r="8" ht="54" customHeight="1">
      <x:c r="A8" s="50" t="str">
        <x:v>Load 1</x:v>
      </x:c>
      <x:c r="B8" s="51" t="str">
        <x:v>Select this XLSX in Duc Auto ChatGPT.</x:v>
      </x:c>
    </x:row>
    <x:row r="9" ht="54" customHeight="1">
      <x:c r="A9" s="50" t="str">
        <x:v>Load 2</x:v>
      </x:c>
      <x:c r="B9" s="51" t="str">
        <x:v>Select the four exact files in references/.</x:v>
      </x:c>
    </x:row>
    <x:row r="10" ht="54" customHeight="1">
      <x:c r="A10" s="50" t="str">
        <x:v>Load 3</x:v>
      </x:c>
      <x:c r="B10" s="51" t="str">
        <x:v>Run Check Plan only; confirm 66 jobs, 4 references and output Duc Auto ChatGPT/Pilot-08/S1-02.</x:v>
      </x:c>
    </x:row>
    <x:row r="11" ht="54" customHeight="1">
      <x:c r="A11" s="50" t="str">
        <x:v>Load 4</x:v>
      </x:c>
      <x:c r="B11" s="51" t="str">
        <x:v>Review the completely new tab wardrobe, then wait for owner acceptance before any run.</x:v>
      </x:c>
    </x:row>
    <x:row r="12" ht="94" customHeight="1">
      <x:c r="A12" s="50" t="str">
        <x:v>Reference precedence</x:v>
      </x:c>
      <x:c r="B12" s="51" t="str">
        <x:v>All four attached images control identity only: face, age, body proportions, Meo twin-low-pigtail placement, and Bố hair and glasses. Ignore every garment, shoe, clothing color and accessory in the references and old source clothing lines. The new written tab wardrobe is the sole clothing authority.</x:v>
      </x:c>
    </x:row>
    <x:row r="13" ht="94" customHeight="1">
      <x:c r="A13" s="50" t="str">
        <x:v>New wardrobe</x:v>
      </x:c>
      <x:c r="B13" s="51" t="str">
        <x:v>Owner instruction applied: redesign clothing completely from scratch to fit this series; keep the approved new outfit unchanged across all 66 prompts. Magic Inventor workshop-makers: compact rounded workwear with flat pockets and secure closures for tabletop invention tests; no apron ties, loose cords, tools, bags or sharp hardware. Meo apricot, turquoise, sunflower and cream; Bố burnt orange, ivory, deep pine, mustard and cream.</x:v>
      </x:c>
    </x:row>
    <x:row r="14" ht="94" customHeight="1">
      <x:c r="A14" s="50" t="str">
        <x:v>Supporting characters</x:v>
      </x:c>
      <x:c r="B14" s="51" t="str">
        <x:v>Preserve only named supporting characters explicitly authorized by the exact source video prompt, repeat their full source description in affected storyboard prompts, and prohibit unapproved extra characters. Lead character concepts remain the six Meo/Bố jobs.</x:v>
      </x:c>
    </x:row>
    <x:row r="15" ht="54" customHeight="1">
      <x:c r="A15" s="50" t="str">
        <x:v>Safety stop</x:v>
      </x:c>
      <x:c r="B15" s="51" t="str">
        <x:v>Stop for CAPTCHA/security warning, unresolved reference, ambiguous submission state, or persistence failure.</x:v>
      </x:c>
    </x:row>
    <x:row r="16" ht="54" customHeight="1">
      <x:c r="A16" s="50" t="str">
        <x:v>Naming</x:v>
      </x:c>
      <x:c r="B16" s="51" t="str">
        <x:v>Output stem equals job ID; runner owns result/status columns.</x:v>
      </x:c>
    </x:row>
    <x:row r="17" ht="54" customHeight="1">
      <x:c r="A17" s="52" t="str">
        <x:v>Status</x:v>
      </x:c>
      <x:c r="B17" s="53" t="str">
        <x:v>READY_FOR_OWNER_REVIEW — live submissions 0.</x:v>
      </x:c>
    </x:row>
  </x:sheetData>
  <x:mergeCells>
    <x:mergeCell ref="A1:B1"/>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42" hidden="0" customWidth="1"/>
    <x:col min="3" max="3" width="22" hidden="0" customWidth="1"/>
    <x:col min="4" max="4" width="24" hidden="0" customWidth="1"/>
    <x:col min="5" max="5" width="12" hidden="0" customWidth="1"/>
    <x:col min="6" max="6" width="8" hidden="0" customWidth="1"/>
    <x:col min="7" max="7" width="34" hidden="0" customWidth="1"/>
    <x:col min="8" max="8" width="20" hidden="0" customWidth="1"/>
    <x:col min="9" max="9" width="14" hidden="0" customWidth="1"/>
    <x:col min="10" max="10" width="34" hidden="0" customWidth="1"/>
    <x:col min="11" max="11" width="28" hidden="0" customWidth="1"/>
    <x:col min="12" max="12" width="72" hidden="0" customWidth="1"/>
    <x:col min="13" max="13" width="42" hidden="0" customWidth="1"/>
    <x:col min="14" max="14" width="12" hidden="0" customWidth="1"/>
  </x:cols>
  <x:sheetData>
    <x:row r="1">
      <x:c r="A1" s="37" t="str">
        <x:v>sequence</x:v>
      </x:c>
      <x:c r="B1" s="56" t="str">
        <x:v>job_id</x:v>
      </x:c>
      <x:c r="C1" s="56" t="str">
        <x:v>phase</x:v>
      </x:c>
      <x:c r="D1" s="56" t="str">
        <x:v>source_video_id</x:v>
      </x:c>
      <x:c r="E1" s="56" t="str">
        <x:v>story_number</x:v>
      </x:c>
      <x:c r="F1" s="56" t="str">
        <x:v>part</x:v>
      </x:c>
      <x:c r="G1" s="56" t="str">
        <x:v>title</x:v>
      </x:c>
      <x:c r="H1" s="56" t="str">
        <x:v>frame</x:v>
      </x:c>
      <x:c r="I1" s="56" t="str">
        <x:v>frame_time</x:v>
      </x:c>
      <x:c r="J1" s="56" t="str">
        <x:v>timing_schema</x:v>
      </x:c>
      <x:c r="K1" s="56" t="str">
        <x:v>purpose</x:v>
      </x:c>
      <x:c r="L1" s="56" t="str">
        <x:v>reference_images</x:v>
      </x:c>
      <x:c r="M1" s="56" t="str">
        <x:v>expected_output_stem</x:v>
      </x:c>
      <x:c r="N1" s="38" t="str">
        <x:v>qc_status</x:v>
      </x:c>
    </x:row>
    <x:row r="2" ht="78" customHeight="1">
      <x:c r="A2" s="57" t="n">
        <x:v>1</x:v>
      </x:c>
      <x:c r="B2" s="24" t="str">
        <x:v>P08-S02-C01-MEO-FRONT</x:v>
      </x:c>
      <x:c r="C2" s="24" t="str">
        <x:v>CHARACTER_CONCEPT</x:v>
      </x:c>
      <x:c r="D2" s="24" t="str">
        <x:v>CHARACTER_LOCK</x:v>
      </x:c>
      <x:c r="E2" s="24" t="str"/>
      <x:c r="F2" s="24" t="str"/>
      <x:c r="G2" s="24" t="str">
        <x:v>Meo</x:v>
      </x:c>
      <x:c r="H2" s="24" t="str">
        <x:v>FRONT</x:v>
      </x:c>
      <x:c r="I2" s="24" t="str">
        <x:v>N/A</x:v>
      </x:c>
      <x:c r="J2" s="24" t="str">
        <x:v>N/A</x:v>
      </x:c>
      <x:c r="K2" s="24" t="str">
        <x:v>Independent full-body front definition</x:v>
      </x:c>
      <x:c r="L2" s="24" t="str">
        <x:v>P08-S02-MEO-PRIMARY.REFERENCE.png|P08-S02-MEO-SECONDARY.REFERENCE.png</x:v>
      </x:c>
      <x:c r="M2" s="24" t="str">
        <x:v>P08-S02-C01-MEO-FRONT</x:v>
      </x:c>
      <x:c r="N2" s="25" t="str">
        <x:v>PASS</x:v>
      </x:c>
    </x:row>
    <x:row r="3" ht="78" customHeight="1">
      <x:c r="A3" s="57" t="n">
        <x:v>2</x:v>
      </x:c>
      <x:c r="B3" s="24" t="str">
        <x:v>P08-S02-C02-MEO-SIDE</x:v>
      </x:c>
      <x:c r="C3" s="24" t="str">
        <x:v>CHARACTER_CONCEPT</x:v>
      </x:c>
      <x:c r="D3" s="24" t="str">
        <x:v>CHARACTER_LOCK</x:v>
      </x:c>
      <x:c r="E3" s="24" t="str"/>
      <x:c r="F3" s="24" t="str"/>
      <x:c r="G3" s="24" t="str">
        <x:v>Meo</x:v>
      </x:c>
      <x:c r="H3" s="24" t="str">
        <x:v>SIDE</x:v>
      </x:c>
      <x:c r="I3" s="24" t="str">
        <x:v>N/A</x:v>
      </x:c>
      <x:c r="J3" s="24" t="str">
        <x:v>N/A</x:v>
      </x:c>
      <x:c r="K3" s="24" t="str">
        <x:v>Independent full-body side definition</x:v>
      </x:c>
      <x:c r="L3" s="24" t="str">
        <x:v>P08-S02-MEO-PRIMARY.REFERENCE.png|P08-S02-MEO-SECONDARY.REFERENCE.png</x:v>
      </x:c>
      <x:c r="M3" s="24" t="str">
        <x:v>P08-S02-C02-MEO-SIDE</x:v>
      </x:c>
      <x:c r="N3" s="25" t="str">
        <x:v>PASS</x:v>
      </x:c>
    </x:row>
    <x:row r="4" ht="78" customHeight="1">
      <x:c r="A4" s="57" t="n">
        <x:v>3</x:v>
      </x:c>
      <x:c r="B4" s="24" t="str">
        <x:v>P08-S02-C03-BO-FRONT</x:v>
      </x:c>
      <x:c r="C4" s="24" t="str">
        <x:v>CHARACTER_CONCEPT</x:v>
      </x:c>
      <x:c r="D4" s="24" t="str">
        <x:v>CHARACTER_LOCK</x:v>
      </x:c>
      <x:c r="E4" s="24" t="str"/>
      <x:c r="F4" s="24" t="str"/>
      <x:c r="G4" s="24" t="str">
        <x:v>Bố</x:v>
      </x:c>
      <x:c r="H4" s="24" t="str">
        <x:v>FRONT</x:v>
      </x:c>
      <x:c r="I4" s="24" t="str">
        <x:v>N/A</x:v>
      </x:c>
      <x:c r="J4" s="24" t="str">
        <x:v>N/A</x:v>
      </x:c>
      <x:c r="K4" s="24" t="str">
        <x:v>Independent full-body front definition</x:v>
      </x:c>
      <x:c r="L4" s="24" t="str">
        <x:v>P08-S02-BO-FRONT.REFERENCE.jpg|P08-S02-BO-SIDE.REFERENCE.jpg</x:v>
      </x:c>
      <x:c r="M4" s="24" t="str">
        <x:v>P08-S02-C03-BO-FRONT</x:v>
      </x:c>
      <x:c r="N4" s="25" t="str">
        <x:v>PASS</x:v>
      </x:c>
    </x:row>
    <x:row r="5" ht="78" customHeight="1">
      <x:c r="A5" s="57" t="n">
        <x:v>4</x:v>
      </x:c>
      <x:c r="B5" s="24" t="str">
        <x:v>P08-S02-C04-BO-SIDE</x:v>
      </x:c>
      <x:c r="C5" s="24" t="str">
        <x:v>CHARACTER_CONCEPT</x:v>
      </x:c>
      <x:c r="D5" s="24" t="str">
        <x:v>CHARACTER_LOCK</x:v>
      </x:c>
      <x:c r="E5" s="24" t="str"/>
      <x:c r="F5" s="24" t="str"/>
      <x:c r="G5" s="24" t="str">
        <x:v>Bố</x:v>
      </x:c>
      <x:c r="H5" s="24" t="str">
        <x:v>SIDE</x:v>
      </x:c>
      <x:c r="I5" s="24" t="str">
        <x:v>N/A</x:v>
      </x:c>
      <x:c r="J5" s="24" t="str">
        <x:v>N/A</x:v>
      </x:c>
      <x:c r="K5" s="24" t="str">
        <x:v>Independent full-body side definition</x:v>
      </x:c>
      <x:c r="L5" s="24" t="str">
        <x:v>P08-S02-BO-FRONT.REFERENCE.jpg|P08-S02-BO-SIDE.REFERENCE.jpg</x:v>
      </x:c>
      <x:c r="M5" s="24" t="str">
        <x:v>P08-S02-C04-BO-SIDE</x:v>
      </x:c>
      <x:c r="N5" s="25" t="str">
        <x:v>PASS</x:v>
      </x:c>
    </x:row>
    <x:row r="6" ht="78" customHeight="1">
      <x:c r="A6" s="57" t="n">
        <x:v>5</x:v>
      </x:c>
      <x:c r="B6" s="24" t="str">
        <x:v>P08-S02-C05-DUO-FRONT</x:v>
      </x:c>
      <x:c r="C6" s="24" t="str">
        <x:v>CHARACTER_CONCEPT</x:v>
      </x:c>
      <x:c r="D6" s="24" t="str">
        <x:v>CHARACTER_LOCK</x:v>
      </x:c>
      <x:c r="E6" s="24" t="str"/>
      <x:c r="F6" s="24" t="str"/>
      <x:c r="G6" s="24" t="str">
        <x:v>Meo + Bố</x:v>
      </x:c>
      <x:c r="H6" s="24" t="str">
        <x:v>DUO_FRONT</x:v>
      </x:c>
      <x:c r="I6" s="24" t="str">
        <x:v>N/A</x:v>
      </x:c>
      <x:c r="J6" s="24" t="str">
        <x:v>N/A</x:v>
      </x:c>
      <x:c r="K6" s="24" t="str">
        <x:v>Shared front scale and relationship definition</x:v>
      </x:c>
      <x:c r="L6" s="24" t="str">
        <x:v>P08-S02-MEO-PRIMARY.REFERENCE.png|P08-S02-MEO-SECONDARY.REFERENCE.png|P08-S02-BO-FRONT.REFERENCE.jpg|P08-S02-BO-SIDE.REFERENCE.jpg</x:v>
      </x:c>
      <x:c r="M6" s="24" t="str">
        <x:v>P08-S02-C05-DUO-FRONT</x:v>
      </x:c>
      <x:c r="N6" s="25" t="str">
        <x:v>PASS</x:v>
      </x:c>
    </x:row>
    <x:row r="7" ht="78" customHeight="1">
      <x:c r="A7" s="57" t="n">
        <x:v>6</x:v>
      </x:c>
      <x:c r="B7" s="24" t="str">
        <x:v>P08-S02-C06-DUO-THREEQ</x:v>
      </x:c>
      <x:c r="C7" s="24" t="str">
        <x:v>CHARACTER_CONCEPT</x:v>
      </x:c>
      <x:c r="D7" s="24" t="str">
        <x:v>CHARACTER_LOCK</x:v>
      </x:c>
      <x:c r="E7" s="24" t="str"/>
      <x:c r="F7" s="24" t="str"/>
      <x:c r="G7" s="24" t="str">
        <x:v>Meo + Bố</x:v>
      </x:c>
      <x:c r="H7" s="24" t="str">
        <x:v>DUO_THREE_QUARTER</x:v>
      </x:c>
      <x:c r="I7" s="24" t="str">
        <x:v>N/A</x:v>
      </x:c>
      <x:c r="J7" s="24" t="str">
        <x:v>N/A</x:v>
      </x:c>
      <x:c r="K7" s="24" t="str">
        <x:v>Shared three-quarter teamwork definition</x:v>
      </x:c>
      <x:c r="L7" s="24" t="str">
        <x:v>P08-S02-MEO-PRIMARY.REFERENCE.png|P08-S02-MEO-SECONDARY.REFERENCE.png|P08-S02-BO-FRONT.REFERENCE.jpg|P08-S02-BO-SIDE.REFERENCE.jpg</x:v>
      </x:c>
      <x:c r="M7" s="24" t="str">
        <x:v>P08-S02-C06-DUO-THREEQ</x:v>
      </x:c>
      <x:c r="N7" s="25" t="str">
        <x:v>PASS</x:v>
      </x:c>
    </x:row>
    <x:row r="8" ht="78" customHeight="1">
      <x:c r="A8" s="57" t="n">
        <x:v>7</x:v>
      </x:c>
      <x:c r="B8" s="24" t="str">
        <x:v>P08-S02-I002-S1-01A-F01</x:v>
      </x:c>
      <x:c r="C8" s="24" t="str">
        <x:v>STORYBOARD</x:v>
      </x:c>
      <x:c r="D8" s="24" t="str">
        <x:v>I002-S1-01A</x:v>
      </x:c>
      <x:c r="E8" s="24" t="str">
        <x:v>1</x:v>
      </x:c>
      <x:c r="F8" s="24" t="str">
        <x:v>A</x:v>
      </x:c>
      <x:c r="G8" s="24" t="str">
        <x:v>Chuông mưa cốc và thìa</x:v>
      </x:c>
      <x:c r="H8" s="24" t="str">
        <x:v>F01</x:v>
      </x:c>
      <x:c r="I8" s="24" t="str">
        <x:v>0-2s</x:v>
      </x:c>
      <x:c r="J8" s="24" t="str">
        <x:v>STANDARD_0-2_2-7_7-9_9-10</x:v>
      </x:c>
      <x:c r="K8" s="24" t="str">
        <x:v>OPENING</x:v>
      </x:c>
      <x:c r="L8" s="24" t="str">
        <x:v>P08-S02-MEO-PRIMARY.REFERENCE.png|P08-S02-MEO-SECONDARY.REFERENCE.png|P08-S02-BO-FRONT.REFERENCE.jpg|P08-S02-BO-SIDE.REFERENCE.jpg</x:v>
      </x:c>
      <x:c r="M8" s="24" t="str">
        <x:v>P08-S02-I002-S1-01A-F01</x:v>
      </x:c>
      <x:c r="N8" s="25" t="str">
        <x:v>PASS</x:v>
      </x:c>
    </x:row>
    <x:row r="9" ht="78" customHeight="1">
      <x:c r="A9" s="57" t="n">
        <x:v>8</x:v>
      </x:c>
      <x:c r="B9" s="24" t="str">
        <x:v>P08-S02-I002-S1-01A-F02</x:v>
      </x:c>
      <x:c r="C9" s="24" t="str">
        <x:v>STORYBOARD</x:v>
      </x:c>
      <x:c r="D9" s="24" t="str">
        <x:v>I002-S1-01A</x:v>
      </x:c>
      <x:c r="E9" s="24" t="str">
        <x:v>1</x:v>
      </x:c>
      <x:c r="F9" s="24" t="str">
        <x:v>A</x:v>
      </x:c>
      <x:c r="G9" s="24" t="str">
        <x:v>Chuông mưa cốc và thìa</x:v>
      </x:c>
      <x:c r="H9" s="24" t="str">
        <x:v>F02</x:v>
      </x:c>
      <x:c r="I9" s="24" t="str">
        <x:v>2-7s</x:v>
      </x:c>
      <x:c r="J9" s="24" t="str">
        <x:v>STANDARD_0-2_2-7_7-9_9-10</x:v>
      </x:c>
      <x:c r="K9" s="24" t="str">
        <x:v>CAUSAL_ACTION</x:v>
      </x:c>
      <x:c r="L9" s="24" t="str">
        <x:v>P08-S02-MEO-PRIMARY.REFERENCE.png|P08-S02-MEO-SECONDARY.REFERENCE.png|P08-S02-BO-FRONT.REFERENCE.jpg|P08-S02-BO-SIDE.REFERENCE.jpg</x:v>
      </x:c>
      <x:c r="M9" s="24" t="str">
        <x:v>P08-S02-I002-S1-01A-F02</x:v>
      </x:c>
      <x:c r="N9" s="25" t="str">
        <x:v>PASS</x:v>
      </x:c>
    </x:row>
    <x:row r="10" ht="78" customHeight="1">
      <x:c r="A10" s="57" t="n">
        <x:v>9</x:v>
      </x:c>
      <x:c r="B10" s="24" t="str">
        <x:v>P08-S02-I002-S1-01A-F03</x:v>
      </x:c>
      <x:c r="C10" s="24" t="str">
        <x:v>STORYBOARD</x:v>
      </x:c>
      <x:c r="D10" s="24" t="str">
        <x:v>I002-S1-01A</x:v>
      </x:c>
      <x:c r="E10" s="24" t="str">
        <x:v>1</x:v>
      </x:c>
      <x:c r="F10" s="24" t="str">
        <x:v>A</x:v>
      </x:c>
      <x:c r="G10" s="24" t="str">
        <x:v>Chuông mưa cốc và thìa</x:v>
      </x:c>
      <x:c r="H10" s="24" t="str">
        <x:v>F03</x:v>
      </x:c>
      <x:c r="I10" s="24" t="str">
        <x:v>7-10s</x:v>
      </x:c>
      <x:c r="J10" s="24" t="str">
        <x:v>STANDARD_0-2_2-7_7-9_9-10</x:v>
      </x:c>
      <x:c r="K10" s="24" t="str">
        <x:v>CLOSING_STATE</x:v>
      </x:c>
      <x:c r="L10" s="24" t="str">
        <x:v>P08-S02-MEO-PRIMARY.REFERENCE.png|P08-S02-MEO-SECONDARY.REFERENCE.png|P08-S02-BO-FRONT.REFERENCE.jpg|P08-S02-BO-SIDE.REFERENCE.jpg</x:v>
      </x:c>
      <x:c r="M10" s="24" t="str">
        <x:v>P08-S02-I002-S1-01A-F03</x:v>
      </x:c>
      <x:c r="N10" s="25" t="str">
        <x:v>PASS</x:v>
      </x:c>
    </x:row>
    <x:row r="11" ht="78" customHeight="1">
      <x:c r="A11" s="57" t="n">
        <x:v>10</x:v>
      </x:c>
      <x:c r="B11" s="24" t="str">
        <x:v>P08-S02-I002-S1-01B-F01</x:v>
      </x:c>
      <x:c r="C11" s="24" t="str">
        <x:v>STORYBOARD</x:v>
      </x:c>
      <x:c r="D11" s="24" t="str">
        <x:v>I002-S1-01B</x:v>
      </x:c>
      <x:c r="E11" s="24" t="str">
        <x:v>1</x:v>
      </x:c>
      <x:c r="F11" s="24" t="str">
        <x:v>B</x:v>
      </x:c>
      <x:c r="G11" s="24" t="str">
        <x:v>Chuông mưa cốc và thìa</x:v>
      </x:c>
      <x:c r="H11" s="24" t="str">
        <x:v>F01</x:v>
      </x:c>
      <x:c r="I11" s="24" t="str">
        <x:v>0-2s</x:v>
      </x:c>
      <x:c r="J11" s="24" t="str">
        <x:v>STANDARD_0-2_2-7_7-9_9-10</x:v>
      </x:c>
      <x:c r="K11" s="24" t="str">
        <x:v>OPENING</x:v>
      </x:c>
      <x:c r="L11" s="24" t="str">
        <x:v>P08-S02-MEO-PRIMARY.REFERENCE.png|P08-S02-MEO-SECONDARY.REFERENCE.png|P08-S02-BO-FRONT.REFERENCE.jpg|P08-S02-BO-SIDE.REFERENCE.jpg</x:v>
      </x:c>
      <x:c r="M11" s="24" t="str">
        <x:v>P08-S02-I002-S1-01B-F01</x:v>
      </x:c>
      <x:c r="N11" s="25" t="str">
        <x:v>PASS</x:v>
      </x:c>
    </x:row>
    <x:row r="12" ht="78" customHeight="1">
      <x:c r="A12" s="57" t="n">
        <x:v>11</x:v>
      </x:c>
      <x:c r="B12" s="24" t="str">
        <x:v>P08-S02-I002-S1-01B-F02</x:v>
      </x:c>
      <x:c r="C12" s="24" t="str">
        <x:v>STORYBOARD</x:v>
      </x:c>
      <x:c r="D12" s="24" t="str">
        <x:v>I002-S1-01B</x:v>
      </x:c>
      <x:c r="E12" s="24" t="str">
        <x:v>1</x:v>
      </x:c>
      <x:c r="F12" s="24" t="str">
        <x:v>B</x:v>
      </x:c>
      <x:c r="G12" s="24" t="str">
        <x:v>Chuông mưa cốc và thìa</x:v>
      </x:c>
      <x:c r="H12" s="24" t="str">
        <x:v>F02</x:v>
      </x:c>
      <x:c r="I12" s="24" t="str">
        <x:v>2-7s</x:v>
      </x:c>
      <x:c r="J12" s="24" t="str">
        <x:v>STANDARD_0-2_2-7_7-9_9-10</x:v>
      </x:c>
      <x:c r="K12" s="24" t="str">
        <x:v>CAUSAL_ACTION</x:v>
      </x:c>
      <x:c r="L12" s="24" t="str">
        <x:v>P08-S02-MEO-PRIMARY.REFERENCE.png|P08-S02-MEO-SECONDARY.REFERENCE.png|P08-S02-BO-FRONT.REFERENCE.jpg|P08-S02-BO-SIDE.REFERENCE.jpg</x:v>
      </x:c>
      <x:c r="M12" s="24" t="str">
        <x:v>P08-S02-I002-S1-01B-F02</x:v>
      </x:c>
      <x:c r="N12" s="25" t="str">
        <x:v>PASS</x:v>
      </x:c>
    </x:row>
    <x:row r="13" ht="78" customHeight="1">
      <x:c r="A13" s="57" t="n">
        <x:v>12</x:v>
      </x:c>
      <x:c r="B13" s="24" t="str">
        <x:v>P08-S02-I002-S1-01B-F03</x:v>
      </x:c>
      <x:c r="C13" s="24" t="str">
        <x:v>STORYBOARD</x:v>
      </x:c>
      <x:c r="D13" s="24" t="str">
        <x:v>I002-S1-01B</x:v>
      </x:c>
      <x:c r="E13" s="24" t="str">
        <x:v>1</x:v>
      </x:c>
      <x:c r="F13" s="24" t="str">
        <x:v>B</x:v>
      </x:c>
      <x:c r="G13" s="24" t="str">
        <x:v>Chuông mưa cốc và thìa</x:v>
      </x:c>
      <x:c r="H13" s="24" t="str">
        <x:v>F03</x:v>
      </x:c>
      <x:c r="I13" s="24" t="str">
        <x:v>7-10s</x:v>
      </x:c>
      <x:c r="J13" s="24" t="str">
        <x:v>STANDARD_0-2_2-7_7-9_9-10</x:v>
      </x:c>
      <x:c r="K13" s="24" t="str">
        <x:v>CLOSING_STATE</x:v>
      </x:c>
      <x:c r="L13" s="24" t="str">
        <x:v>P08-S02-MEO-PRIMARY.REFERENCE.png|P08-S02-MEO-SECONDARY.REFERENCE.png|P08-S02-BO-FRONT.REFERENCE.jpg|P08-S02-BO-SIDE.REFERENCE.jpg</x:v>
      </x:c>
      <x:c r="M13" s="24" t="str">
        <x:v>P08-S02-I002-S1-01B-F03</x:v>
      </x:c>
      <x:c r="N13" s="25" t="str">
        <x:v>PASS</x:v>
      </x:c>
    </x:row>
    <x:row r="14" ht="78" customHeight="1">
      <x:c r="A14" s="57" t="n">
        <x:v>13</x:v>
      </x:c>
      <x:c r="B14" s="24" t="str">
        <x:v>P08-S02-I002-S1-02A-F01</x:v>
      </x:c>
      <x:c r="C14" s="24" t="str">
        <x:v>STORYBOARD</x:v>
      </x:c>
      <x:c r="D14" s="24" t="str">
        <x:v>I002-S1-02A</x:v>
      </x:c>
      <x:c r="E14" s="24" t="str">
        <x:v>2</x:v>
      </x:c>
      <x:c r="F14" s="24" t="str">
        <x:v>A</x:v>
      </x:c>
      <x:c r="G14" s="24" t="str">
        <x:v>Máy chiếu ống và ngôi sao</x:v>
      </x:c>
      <x:c r="H14" s="24" t="str">
        <x:v>F01</x:v>
      </x:c>
      <x:c r="I14" s="24" t="str">
        <x:v>0-2s</x:v>
      </x:c>
      <x:c r="J14" s="24" t="str">
        <x:v>STANDARD_0-2_2-7_7-9_9-10</x:v>
      </x:c>
      <x:c r="K14" s="24" t="str">
        <x:v>OPENING</x:v>
      </x:c>
      <x:c r="L14" s="24" t="str">
        <x:v>P08-S02-MEO-PRIMARY.REFERENCE.png|P08-S02-MEO-SECONDARY.REFERENCE.png|P08-S02-BO-FRONT.REFERENCE.jpg|P08-S02-BO-SIDE.REFERENCE.jpg</x:v>
      </x:c>
      <x:c r="M14" s="24" t="str">
        <x:v>P08-S02-I002-S1-02A-F01</x:v>
      </x:c>
      <x:c r="N14" s="25" t="str">
        <x:v>PASS</x:v>
      </x:c>
    </x:row>
    <x:row r="15" ht="78" customHeight="1">
      <x:c r="A15" s="57" t="n">
        <x:v>14</x:v>
      </x:c>
      <x:c r="B15" s="24" t="str">
        <x:v>P08-S02-I002-S1-02A-F02</x:v>
      </x:c>
      <x:c r="C15" s="24" t="str">
        <x:v>STORYBOARD</x:v>
      </x:c>
      <x:c r="D15" s="24" t="str">
        <x:v>I002-S1-02A</x:v>
      </x:c>
      <x:c r="E15" s="24" t="str">
        <x:v>2</x:v>
      </x:c>
      <x:c r="F15" s="24" t="str">
        <x:v>A</x:v>
      </x:c>
      <x:c r="G15" s="24" t="str">
        <x:v>Máy chiếu ống và ngôi sao</x:v>
      </x:c>
      <x:c r="H15" s="24" t="str">
        <x:v>F02</x:v>
      </x:c>
      <x:c r="I15" s="24" t="str">
        <x:v>2-7s</x:v>
      </x:c>
      <x:c r="J15" s="24" t="str">
        <x:v>STANDARD_0-2_2-7_7-9_9-10</x:v>
      </x:c>
      <x:c r="K15" s="24" t="str">
        <x:v>CAUSAL_ACTION</x:v>
      </x:c>
      <x:c r="L15" s="24" t="str">
        <x:v>P08-S02-MEO-PRIMARY.REFERENCE.png|P08-S02-MEO-SECONDARY.REFERENCE.png|P08-S02-BO-FRONT.REFERENCE.jpg|P08-S02-BO-SIDE.REFERENCE.jpg</x:v>
      </x:c>
      <x:c r="M15" s="24" t="str">
        <x:v>P08-S02-I002-S1-02A-F02</x:v>
      </x:c>
      <x:c r="N15" s="25" t="str">
        <x:v>PASS</x:v>
      </x:c>
    </x:row>
    <x:row r="16" ht="78" customHeight="1">
      <x:c r="A16" s="57" t="n">
        <x:v>15</x:v>
      </x:c>
      <x:c r="B16" s="24" t="str">
        <x:v>P08-S02-I002-S1-02A-F03</x:v>
      </x:c>
      <x:c r="C16" s="24" t="str">
        <x:v>STORYBOARD</x:v>
      </x:c>
      <x:c r="D16" s="24" t="str">
        <x:v>I002-S1-02A</x:v>
      </x:c>
      <x:c r="E16" s="24" t="str">
        <x:v>2</x:v>
      </x:c>
      <x:c r="F16" s="24" t="str">
        <x:v>A</x:v>
      </x:c>
      <x:c r="G16" s="24" t="str">
        <x:v>Máy chiếu ống và ngôi sao</x:v>
      </x:c>
      <x:c r="H16" s="24" t="str">
        <x:v>F03</x:v>
      </x:c>
      <x:c r="I16" s="24" t="str">
        <x:v>7-10s</x:v>
      </x:c>
      <x:c r="J16" s="24" t="str">
        <x:v>STANDARD_0-2_2-7_7-9_9-10</x:v>
      </x:c>
      <x:c r="K16" s="24" t="str">
        <x:v>CLOSING_STATE</x:v>
      </x:c>
      <x:c r="L16" s="24" t="str">
        <x:v>P08-S02-MEO-PRIMARY.REFERENCE.png|P08-S02-MEO-SECONDARY.REFERENCE.png|P08-S02-BO-FRONT.REFERENCE.jpg|P08-S02-BO-SIDE.REFERENCE.jpg</x:v>
      </x:c>
      <x:c r="M16" s="24" t="str">
        <x:v>P08-S02-I002-S1-02A-F03</x:v>
      </x:c>
      <x:c r="N16" s="25" t="str">
        <x:v>PASS</x:v>
      </x:c>
    </x:row>
    <x:row r="17" ht="78" customHeight="1">
      <x:c r="A17" s="57" t="n">
        <x:v>16</x:v>
      </x:c>
      <x:c r="B17" s="24" t="str">
        <x:v>P08-S02-I002-S1-02B-F01</x:v>
      </x:c>
      <x:c r="C17" s="24" t="str">
        <x:v>STORYBOARD</x:v>
      </x:c>
      <x:c r="D17" s="24" t="str">
        <x:v>I002-S1-02B</x:v>
      </x:c>
      <x:c r="E17" s="24" t="str">
        <x:v>2</x:v>
      </x:c>
      <x:c r="F17" s="24" t="str">
        <x:v>B</x:v>
      </x:c>
      <x:c r="G17" s="24" t="str">
        <x:v>Máy chiếu ống và ngôi sao</x:v>
      </x:c>
      <x:c r="H17" s="24" t="str">
        <x:v>F01</x:v>
      </x:c>
      <x:c r="I17" s="24" t="str">
        <x:v>0-2s</x:v>
      </x:c>
      <x:c r="J17" s="24" t="str">
        <x:v>STANDARD_0-2_2-7_7-9_9-10</x:v>
      </x:c>
      <x:c r="K17" s="24" t="str">
        <x:v>OPENING</x:v>
      </x:c>
      <x:c r="L17" s="24" t="str">
        <x:v>P08-S02-MEO-PRIMARY.REFERENCE.png|P08-S02-MEO-SECONDARY.REFERENCE.png|P08-S02-BO-FRONT.REFERENCE.jpg|P08-S02-BO-SIDE.REFERENCE.jpg</x:v>
      </x:c>
      <x:c r="M17" s="24" t="str">
        <x:v>P08-S02-I002-S1-02B-F01</x:v>
      </x:c>
      <x:c r="N17" s="25" t="str">
        <x:v>PASS</x:v>
      </x:c>
    </x:row>
    <x:row r="18" ht="78" customHeight="1">
      <x:c r="A18" s="57" t="n">
        <x:v>17</x:v>
      </x:c>
      <x:c r="B18" s="24" t="str">
        <x:v>P08-S02-I002-S1-02B-F02</x:v>
      </x:c>
      <x:c r="C18" s="24" t="str">
        <x:v>STORYBOARD</x:v>
      </x:c>
      <x:c r="D18" s="24" t="str">
        <x:v>I002-S1-02B</x:v>
      </x:c>
      <x:c r="E18" s="24" t="str">
        <x:v>2</x:v>
      </x:c>
      <x:c r="F18" s="24" t="str">
        <x:v>B</x:v>
      </x:c>
      <x:c r="G18" s="24" t="str">
        <x:v>Máy chiếu ống và ngôi sao</x:v>
      </x:c>
      <x:c r="H18" s="24" t="str">
        <x:v>F02</x:v>
      </x:c>
      <x:c r="I18" s="24" t="str">
        <x:v>2-7s</x:v>
      </x:c>
      <x:c r="J18" s="24" t="str">
        <x:v>STANDARD_0-2_2-7_7-9_9-10</x:v>
      </x:c>
      <x:c r="K18" s="24" t="str">
        <x:v>CAUSAL_ACTION</x:v>
      </x:c>
      <x:c r="L18" s="24" t="str">
        <x:v>P08-S02-MEO-PRIMARY.REFERENCE.png|P08-S02-MEO-SECONDARY.REFERENCE.png|P08-S02-BO-FRONT.REFERENCE.jpg|P08-S02-BO-SIDE.REFERENCE.jpg</x:v>
      </x:c>
      <x:c r="M18" s="24" t="str">
        <x:v>P08-S02-I002-S1-02B-F02</x:v>
      </x:c>
      <x:c r="N18" s="25" t="str">
        <x:v>PASS</x:v>
      </x:c>
    </x:row>
    <x:row r="19" ht="78" customHeight="1">
      <x:c r="A19" s="57" t="n">
        <x:v>18</x:v>
      </x:c>
      <x:c r="B19" s="24" t="str">
        <x:v>P08-S02-I002-S1-02B-F03</x:v>
      </x:c>
      <x:c r="C19" s="24" t="str">
        <x:v>STORYBOARD</x:v>
      </x:c>
      <x:c r="D19" s="24" t="str">
        <x:v>I002-S1-02B</x:v>
      </x:c>
      <x:c r="E19" s="24" t="str">
        <x:v>2</x:v>
      </x:c>
      <x:c r="F19" s="24" t="str">
        <x:v>B</x:v>
      </x:c>
      <x:c r="G19" s="24" t="str">
        <x:v>Máy chiếu ống và ngôi sao</x:v>
      </x:c>
      <x:c r="H19" s="24" t="str">
        <x:v>F03</x:v>
      </x:c>
      <x:c r="I19" s="24" t="str">
        <x:v>7-10s</x:v>
      </x:c>
      <x:c r="J19" s="24" t="str">
        <x:v>STANDARD_0-2_2-7_7-9_9-10</x:v>
      </x:c>
      <x:c r="K19" s="24" t="str">
        <x:v>CLOSING_STATE</x:v>
      </x:c>
      <x:c r="L19" s="24" t="str">
        <x:v>P08-S02-MEO-PRIMARY.REFERENCE.png|P08-S02-MEO-SECONDARY.REFERENCE.png|P08-S02-BO-FRONT.REFERENCE.jpg|P08-S02-BO-SIDE.REFERENCE.jpg</x:v>
      </x:c>
      <x:c r="M19" s="24" t="str">
        <x:v>P08-S02-I002-S1-02B-F03</x:v>
      </x:c>
      <x:c r="N19" s="25" t="str">
        <x:v>PASS</x:v>
      </x:c>
    </x:row>
    <x:row r="20" ht="78" customHeight="1">
      <x:c r="A20" s="57" t="n">
        <x:v>19</x:v>
      </x:c>
      <x:c r="B20" s="24" t="str">
        <x:v>P08-S02-I002-S1-03A-F01</x:v>
      </x:c>
      <x:c r="C20" s="24" t="str">
        <x:v>STORYBOARD</x:v>
      </x:c>
      <x:c r="D20" s="24" t="str">
        <x:v>I002-S1-03A</x:v>
      </x:c>
      <x:c r="E20" s="24" t="str">
        <x:v>3</x:v>
      </x:c>
      <x:c r="F20" s="24" t="str">
        <x:v>A</x:v>
      </x:c>
      <x:c r="G20" s="24" t="str">
        <x:v>Bộ tìm gió quạt và ruy băng</x:v>
      </x:c>
      <x:c r="H20" s="24" t="str">
        <x:v>F01</x:v>
      </x:c>
      <x:c r="I20" s="24" t="str">
        <x:v>0-2s</x:v>
      </x:c>
      <x:c r="J20" s="24" t="str">
        <x:v>STANDARD_0-2_2-7_7-9_9-10</x:v>
      </x:c>
      <x:c r="K20" s="24" t="str">
        <x:v>OPENING</x:v>
      </x:c>
      <x:c r="L20" s="24" t="str">
        <x:v>P08-S02-MEO-PRIMARY.REFERENCE.png|P08-S02-MEO-SECONDARY.REFERENCE.png|P08-S02-BO-FRONT.REFERENCE.jpg|P08-S02-BO-SIDE.REFERENCE.jpg</x:v>
      </x:c>
      <x:c r="M20" s="24" t="str">
        <x:v>P08-S02-I002-S1-03A-F01</x:v>
      </x:c>
      <x:c r="N20" s="25" t="str">
        <x:v>PASS</x:v>
      </x:c>
    </x:row>
    <x:row r="21" ht="78" customHeight="1">
      <x:c r="A21" s="57" t="n">
        <x:v>20</x:v>
      </x:c>
      <x:c r="B21" s="24" t="str">
        <x:v>P08-S02-I002-S1-03A-F02</x:v>
      </x:c>
      <x:c r="C21" s="24" t="str">
        <x:v>STORYBOARD</x:v>
      </x:c>
      <x:c r="D21" s="24" t="str">
        <x:v>I002-S1-03A</x:v>
      </x:c>
      <x:c r="E21" s="24" t="str">
        <x:v>3</x:v>
      </x:c>
      <x:c r="F21" s="24" t="str">
        <x:v>A</x:v>
      </x:c>
      <x:c r="G21" s="24" t="str">
        <x:v>Bộ tìm gió quạt và ruy băng</x:v>
      </x:c>
      <x:c r="H21" s="24" t="str">
        <x:v>F02</x:v>
      </x:c>
      <x:c r="I21" s="24" t="str">
        <x:v>2-7s</x:v>
      </x:c>
      <x:c r="J21" s="24" t="str">
        <x:v>STANDARD_0-2_2-7_7-9_9-10</x:v>
      </x:c>
      <x:c r="K21" s="24" t="str">
        <x:v>CAUSAL_ACTION</x:v>
      </x:c>
      <x:c r="L21" s="24" t="str">
        <x:v>P08-S02-MEO-PRIMARY.REFERENCE.png|P08-S02-MEO-SECONDARY.REFERENCE.png|P08-S02-BO-FRONT.REFERENCE.jpg|P08-S02-BO-SIDE.REFERENCE.jpg</x:v>
      </x:c>
      <x:c r="M21" s="24" t="str">
        <x:v>P08-S02-I002-S1-03A-F02</x:v>
      </x:c>
      <x:c r="N21" s="25" t="str">
        <x:v>PASS</x:v>
      </x:c>
    </x:row>
    <x:row r="22" ht="78" customHeight="1">
      <x:c r="A22" s="57" t="n">
        <x:v>21</x:v>
      </x:c>
      <x:c r="B22" s="24" t="str">
        <x:v>P08-S02-I002-S1-03A-F03</x:v>
      </x:c>
      <x:c r="C22" s="24" t="str">
        <x:v>STORYBOARD</x:v>
      </x:c>
      <x:c r="D22" s="24" t="str">
        <x:v>I002-S1-03A</x:v>
      </x:c>
      <x:c r="E22" s="24" t="str">
        <x:v>3</x:v>
      </x:c>
      <x:c r="F22" s="24" t="str">
        <x:v>A</x:v>
      </x:c>
      <x:c r="G22" s="24" t="str">
        <x:v>Bộ tìm gió quạt và ruy băng</x:v>
      </x:c>
      <x:c r="H22" s="24" t="str">
        <x:v>F03</x:v>
      </x:c>
      <x:c r="I22" s="24" t="str">
        <x:v>7-10s</x:v>
      </x:c>
      <x:c r="J22" s="24" t="str">
        <x:v>STANDARD_0-2_2-7_7-9_9-10</x:v>
      </x:c>
      <x:c r="K22" s="24" t="str">
        <x:v>CLOSING_STATE</x:v>
      </x:c>
      <x:c r="L22" s="24" t="str">
        <x:v>P08-S02-MEO-PRIMARY.REFERENCE.png|P08-S02-MEO-SECONDARY.REFERENCE.png|P08-S02-BO-FRONT.REFERENCE.jpg|P08-S02-BO-SIDE.REFERENCE.jpg</x:v>
      </x:c>
      <x:c r="M22" s="24" t="str">
        <x:v>P08-S02-I002-S1-03A-F03</x:v>
      </x:c>
      <x:c r="N22" s="25" t="str">
        <x:v>PASS</x:v>
      </x:c>
    </x:row>
    <x:row r="23" ht="78" customHeight="1">
      <x:c r="A23" s="57" t="n">
        <x:v>22</x:v>
      </x:c>
      <x:c r="B23" s="24" t="str">
        <x:v>P08-S02-I002-S1-03B-F01</x:v>
      </x:c>
      <x:c r="C23" s="24" t="str">
        <x:v>STORYBOARD</x:v>
      </x:c>
      <x:c r="D23" s="24" t="str">
        <x:v>I002-S1-03B</x:v>
      </x:c>
      <x:c r="E23" s="24" t="str">
        <x:v>3</x:v>
      </x:c>
      <x:c r="F23" s="24" t="str">
        <x:v>B</x:v>
      </x:c>
      <x:c r="G23" s="24" t="str">
        <x:v>Bộ tìm gió quạt và ruy băng</x:v>
      </x:c>
      <x:c r="H23" s="24" t="str">
        <x:v>F01</x:v>
      </x:c>
      <x:c r="I23" s="24" t="str">
        <x:v>0-2s</x:v>
      </x:c>
      <x:c r="J23" s="24" t="str">
        <x:v>STANDARD_0-2_2-7_7-9_9-10</x:v>
      </x:c>
      <x:c r="K23" s="24" t="str">
        <x:v>OPENING</x:v>
      </x:c>
      <x:c r="L23" s="24" t="str">
        <x:v>P08-S02-MEO-PRIMARY.REFERENCE.png|P08-S02-MEO-SECONDARY.REFERENCE.png|P08-S02-BO-FRONT.REFERENCE.jpg|P08-S02-BO-SIDE.REFERENCE.jpg</x:v>
      </x:c>
      <x:c r="M23" s="24" t="str">
        <x:v>P08-S02-I002-S1-03B-F01</x:v>
      </x:c>
      <x:c r="N23" s="25" t="str">
        <x:v>PASS</x:v>
      </x:c>
    </x:row>
    <x:row r="24" ht="78" customHeight="1">
      <x:c r="A24" s="57" t="n">
        <x:v>23</x:v>
      </x:c>
      <x:c r="B24" s="24" t="str">
        <x:v>P08-S02-I002-S1-03B-F02</x:v>
      </x:c>
      <x:c r="C24" s="24" t="str">
        <x:v>STORYBOARD</x:v>
      </x:c>
      <x:c r="D24" s="24" t="str">
        <x:v>I002-S1-03B</x:v>
      </x:c>
      <x:c r="E24" s="24" t="str">
        <x:v>3</x:v>
      </x:c>
      <x:c r="F24" s="24" t="str">
        <x:v>B</x:v>
      </x:c>
      <x:c r="G24" s="24" t="str">
        <x:v>Bộ tìm gió quạt và ruy băng</x:v>
      </x:c>
      <x:c r="H24" s="24" t="str">
        <x:v>F02</x:v>
      </x:c>
      <x:c r="I24" s="24" t="str">
        <x:v>2-7s</x:v>
      </x:c>
      <x:c r="J24" s="24" t="str">
        <x:v>STANDARD_0-2_2-7_7-9_9-10</x:v>
      </x:c>
      <x:c r="K24" s="24" t="str">
        <x:v>CAUSAL_ACTION</x:v>
      </x:c>
      <x:c r="L24" s="24" t="str">
        <x:v>P08-S02-MEO-PRIMARY.REFERENCE.png|P08-S02-MEO-SECONDARY.REFERENCE.png|P08-S02-BO-FRONT.REFERENCE.jpg|P08-S02-BO-SIDE.REFERENCE.jpg</x:v>
      </x:c>
      <x:c r="M24" s="24" t="str">
        <x:v>P08-S02-I002-S1-03B-F02</x:v>
      </x:c>
      <x:c r="N24" s="25" t="str">
        <x:v>PASS</x:v>
      </x:c>
    </x:row>
    <x:row r="25" ht="78" customHeight="1">
      <x:c r="A25" s="57" t="n">
        <x:v>24</x:v>
      </x:c>
      <x:c r="B25" s="24" t="str">
        <x:v>P08-S02-I002-S1-03B-F03</x:v>
      </x:c>
      <x:c r="C25" s="24" t="str">
        <x:v>STORYBOARD</x:v>
      </x:c>
      <x:c r="D25" s="24" t="str">
        <x:v>I002-S1-03B</x:v>
      </x:c>
      <x:c r="E25" s="24" t="str">
        <x:v>3</x:v>
      </x:c>
      <x:c r="F25" s="24" t="str">
        <x:v>B</x:v>
      </x:c>
      <x:c r="G25" s="24" t="str">
        <x:v>Bộ tìm gió quạt và ruy băng</x:v>
      </x:c>
      <x:c r="H25" s="24" t="str">
        <x:v>F03</x:v>
      </x:c>
      <x:c r="I25" s="24" t="str">
        <x:v>7-10s</x:v>
      </x:c>
      <x:c r="J25" s="24" t="str">
        <x:v>STANDARD_0-2_2-7_7-9_9-10</x:v>
      </x:c>
      <x:c r="K25" s="24" t="str">
        <x:v>CLOSING_STATE</x:v>
      </x:c>
      <x:c r="L25" s="24" t="str">
        <x:v>P08-S02-MEO-PRIMARY.REFERENCE.png|P08-S02-MEO-SECONDARY.REFERENCE.png|P08-S02-BO-FRONT.REFERENCE.jpg|P08-S02-BO-SIDE.REFERENCE.jpg</x:v>
      </x:c>
      <x:c r="M25" s="24" t="str">
        <x:v>P08-S02-I002-S1-03B-F03</x:v>
      </x:c>
      <x:c r="N25" s="25" t="str">
        <x:v>PASS</x:v>
      </x:c>
    </x:row>
    <x:row r="26" ht="78" customHeight="1">
      <x:c r="A26" s="57" t="n">
        <x:v>25</x:v>
      </x:c>
      <x:c r="B26" s="24" t="str">
        <x:v>P08-S02-I002-S1-04A-F01</x:v>
      </x:c>
      <x:c r="C26" s="24" t="str">
        <x:v>STORYBOARD</x:v>
      </x:c>
      <x:c r="D26" s="24" t="str">
        <x:v>I002-S1-04A</x:v>
      </x:c>
      <x:c r="E26" s="24" t="str">
        <x:v>4</x:v>
      </x:c>
      <x:c r="F26" s="24" t="str">
        <x:v>A</x:v>
      </x:c>
      <x:c r="G26" s="24" t="str">
        <x:v>Máy thổi mây bằng sponge và ống</x:v>
      </x:c>
      <x:c r="H26" s="24" t="str">
        <x:v>F01</x:v>
      </x:c>
      <x:c r="I26" s="24" t="str">
        <x:v>0-2s</x:v>
      </x:c>
      <x:c r="J26" s="24" t="str">
        <x:v>STANDARD_0-2_2-7_7-9_9-10</x:v>
      </x:c>
      <x:c r="K26" s="24" t="str">
        <x:v>OPENING</x:v>
      </x:c>
      <x:c r="L26" s="24" t="str">
        <x:v>P08-S02-MEO-PRIMARY.REFERENCE.png|P08-S02-MEO-SECONDARY.REFERENCE.png|P08-S02-BO-FRONT.REFERENCE.jpg|P08-S02-BO-SIDE.REFERENCE.jpg</x:v>
      </x:c>
      <x:c r="M26" s="24" t="str">
        <x:v>P08-S02-I002-S1-04A-F01</x:v>
      </x:c>
      <x:c r="N26" s="25" t="str">
        <x:v>PASS</x:v>
      </x:c>
    </x:row>
    <x:row r="27" ht="78" customHeight="1">
      <x:c r="A27" s="57" t="n">
        <x:v>26</x:v>
      </x:c>
      <x:c r="B27" s="24" t="str">
        <x:v>P08-S02-I002-S1-04A-F02</x:v>
      </x:c>
      <x:c r="C27" s="24" t="str">
        <x:v>STORYBOARD</x:v>
      </x:c>
      <x:c r="D27" s="24" t="str">
        <x:v>I002-S1-04A</x:v>
      </x:c>
      <x:c r="E27" s="24" t="str">
        <x:v>4</x:v>
      </x:c>
      <x:c r="F27" s="24" t="str">
        <x:v>A</x:v>
      </x:c>
      <x:c r="G27" s="24" t="str">
        <x:v>Máy thổi mây bằng sponge và ống</x:v>
      </x:c>
      <x:c r="H27" s="24" t="str">
        <x:v>F02</x:v>
      </x:c>
      <x:c r="I27" s="24" t="str">
        <x:v>2-7s</x:v>
      </x:c>
      <x:c r="J27" s="24" t="str">
        <x:v>STANDARD_0-2_2-7_7-9_9-10</x:v>
      </x:c>
      <x:c r="K27" s="24" t="str">
        <x:v>CAUSAL_ACTION</x:v>
      </x:c>
      <x:c r="L27" s="24" t="str">
        <x:v>P08-S02-MEO-PRIMARY.REFERENCE.png|P08-S02-MEO-SECONDARY.REFERENCE.png|P08-S02-BO-FRONT.REFERENCE.jpg|P08-S02-BO-SIDE.REFERENCE.jpg</x:v>
      </x:c>
      <x:c r="M27" s="24" t="str">
        <x:v>P08-S02-I002-S1-04A-F02</x:v>
      </x:c>
      <x:c r="N27" s="25" t="str">
        <x:v>PASS</x:v>
      </x:c>
    </x:row>
    <x:row r="28" ht="78" customHeight="1">
      <x:c r="A28" s="57" t="n">
        <x:v>27</x:v>
      </x:c>
      <x:c r="B28" s="24" t="str">
        <x:v>P08-S02-I002-S1-04A-F03</x:v>
      </x:c>
      <x:c r="C28" s="24" t="str">
        <x:v>STORYBOARD</x:v>
      </x:c>
      <x:c r="D28" s="24" t="str">
        <x:v>I002-S1-04A</x:v>
      </x:c>
      <x:c r="E28" s="24" t="str">
        <x:v>4</x:v>
      </x:c>
      <x:c r="F28" s="24" t="str">
        <x:v>A</x:v>
      </x:c>
      <x:c r="G28" s="24" t="str">
        <x:v>Máy thổi mây bằng sponge và ống</x:v>
      </x:c>
      <x:c r="H28" s="24" t="str">
        <x:v>F03</x:v>
      </x:c>
      <x:c r="I28" s="24" t="str">
        <x:v>7-10s</x:v>
      </x:c>
      <x:c r="J28" s="24" t="str">
        <x:v>STANDARD_0-2_2-7_7-9_9-10</x:v>
      </x:c>
      <x:c r="K28" s="24" t="str">
        <x:v>CLOSING_STATE</x:v>
      </x:c>
      <x:c r="L28" s="24" t="str">
        <x:v>P08-S02-MEO-PRIMARY.REFERENCE.png|P08-S02-MEO-SECONDARY.REFERENCE.png|P08-S02-BO-FRONT.REFERENCE.jpg|P08-S02-BO-SIDE.REFERENCE.jpg</x:v>
      </x:c>
      <x:c r="M28" s="24" t="str">
        <x:v>P08-S02-I002-S1-04A-F03</x:v>
      </x:c>
      <x:c r="N28" s="25" t="str">
        <x:v>PASS</x:v>
      </x:c>
    </x:row>
    <x:row r="29" ht="78" customHeight="1">
      <x:c r="A29" s="57" t="n">
        <x:v>28</x:v>
      </x:c>
      <x:c r="B29" s="24" t="str">
        <x:v>P08-S02-I002-S1-04B-F01</x:v>
      </x:c>
      <x:c r="C29" s="24" t="str">
        <x:v>STORYBOARD</x:v>
      </x:c>
      <x:c r="D29" s="24" t="str">
        <x:v>I002-S1-04B</x:v>
      </x:c>
      <x:c r="E29" s="24" t="str">
        <x:v>4</x:v>
      </x:c>
      <x:c r="F29" s="24" t="str">
        <x:v>B</x:v>
      </x:c>
      <x:c r="G29" s="24" t="str">
        <x:v>Máy thổi mây bằng sponge và ống</x:v>
      </x:c>
      <x:c r="H29" s="24" t="str">
        <x:v>F01</x:v>
      </x:c>
      <x:c r="I29" s="24" t="str">
        <x:v>0-2s</x:v>
      </x:c>
      <x:c r="J29" s="24" t="str">
        <x:v>STANDARD_0-2_2-7_7-9_9-10</x:v>
      </x:c>
      <x:c r="K29" s="24" t="str">
        <x:v>OPENING</x:v>
      </x:c>
      <x:c r="L29" s="24" t="str">
        <x:v>P08-S02-MEO-PRIMARY.REFERENCE.png|P08-S02-MEO-SECONDARY.REFERENCE.png|P08-S02-BO-FRONT.REFERENCE.jpg|P08-S02-BO-SIDE.REFERENCE.jpg</x:v>
      </x:c>
      <x:c r="M29" s="24" t="str">
        <x:v>P08-S02-I002-S1-04B-F01</x:v>
      </x:c>
      <x:c r="N29" s="25" t="str">
        <x:v>PASS</x:v>
      </x:c>
    </x:row>
    <x:row r="30" ht="78" customHeight="1">
      <x:c r="A30" s="57" t="n">
        <x:v>29</x:v>
      </x:c>
      <x:c r="B30" s="24" t="str">
        <x:v>P08-S02-I002-S1-04B-F02</x:v>
      </x:c>
      <x:c r="C30" s="24" t="str">
        <x:v>STORYBOARD</x:v>
      </x:c>
      <x:c r="D30" s="24" t="str">
        <x:v>I002-S1-04B</x:v>
      </x:c>
      <x:c r="E30" s="24" t="str">
        <x:v>4</x:v>
      </x:c>
      <x:c r="F30" s="24" t="str">
        <x:v>B</x:v>
      </x:c>
      <x:c r="G30" s="24" t="str">
        <x:v>Máy thổi mây bằng sponge và ống</x:v>
      </x:c>
      <x:c r="H30" s="24" t="str">
        <x:v>F02</x:v>
      </x:c>
      <x:c r="I30" s="24" t="str">
        <x:v>2-7s</x:v>
      </x:c>
      <x:c r="J30" s="24" t="str">
        <x:v>STANDARD_0-2_2-7_7-9_9-10</x:v>
      </x:c>
      <x:c r="K30" s="24" t="str">
        <x:v>CAUSAL_ACTION</x:v>
      </x:c>
      <x:c r="L30" s="24" t="str">
        <x:v>P08-S02-MEO-PRIMARY.REFERENCE.png|P08-S02-MEO-SECONDARY.REFERENCE.png|P08-S02-BO-FRONT.REFERENCE.jpg|P08-S02-BO-SIDE.REFERENCE.jpg</x:v>
      </x:c>
      <x:c r="M30" s="24" t="str">
        <x:v>P08-S02-I002-S1-04B-F02</x:v>
      </x:c>
      <x:c r="N30" s="25" t="str">
        <x:v>PASS</x:v>
      </x:c>
    </x:row>
    <x:row r="31" ht="78" customHeight="1">
      <x:c r="A31" s="57" t="n">
        <x:v>30</x:v>
      </x:c>
      <x:c r="B31" s="24" t="str">
        <x:v>P08-S02-I002-S1-04B-F03</x:v>
      </x:c>
      <x:c r="C31" s="24" t="str">
        <x:v>STORYBOARD</x:v>
      </x:c>
      <x:c r="D31" s="24" t="str">
        <x:v>I002-S1-04B</x:v>
      </x:c>
      <x:c r="E31" s="24" t="str">
        <x:v>4</x:v>
      </x:c>
      <x:c r="F31" s="24" t="str">
        <x:v>B</x:v>
      </x:c>
      <x:c r="G31" s="24" t="str">
        <x:v>Máy thổi mây bằng sponge và ống</x:v>
      </x:c>
      <x:c r="H31" s="24" t="str">
        <x:v>F03</x:v>
      </x:c>
      <x:c r="I31" s="24" t="str">
        <x:v>7-10s</x:v>
      </x:c>
      <x:c r="J31" s="24" t="str">
        <x:v>STANDARD_0-2_2-7_7-9_9-10</x:v>
      </x:c>
      <x:c r="K31" s="24" t="str">
        <x:v>CLOSING_STATE</x:v>
      </x:c>
      <x:c r="L31" s="24" t="str">
        <x:v>P08-S02-MEO-PRIMARY.REFERENCE.png|P08-S02-MEO-SECONDARY.REFERENCE.png|P08-S02-BO-FRONT.REFERENCE.jpg|P08-S02-BO-SIDE.REFERENCE.jpg</x:v>
      </x:c>
      <x:c r="M31" s="24" t="str">
        <x:v>P08-S02-I002-S1-04B-F03</x:v>
      </x:c>
      <x:c r="N31" s="25" t="str">
        <x:v>PASS</x:v>
      </x:c>
    </x:row>
    <x:row r="32" ht="78" customHeight="1">
      <x:c r="A32" s="57" t="n">
        <x:v>31</x:v>
      </x:c>
      <x:c r="B32" s="24" t="str">
        <x:v>P08-S02-I002-S1-05A-F01</x:v>
      </x:c>
      <x:c r="C32" s="24" t="str">
        <x:v>STORYBOARD</x:v>
      </x:c>
      <x:c r="D32" s="24" t="str">
        <x:v>I002-S1-05A</x:v>
      </x:c>
      <x:c r="E32" s="24" t="str">
        <x:v>5</x:v>
      </x:c>
      <x:c r="F32" s="24" t="str">
        <x:v>A</x:v>
      </x:c>
      <x:c r="G32" s="24" t="str">
        <x:v>Đường thì thầm bằng phễu và len</x:v>
      </x:c>
      <x:c r="H32" s="24" t="str">
        <x:v>F01</x:v>
      </x:c>
      <x:c r="I32" s="24" t="str">
        <x:v>0-2s</x:v>
      </x:c>
      <x:c r="J32" s="24" t="str">
        <x:v>STANDARD_0-2_2-7_7-9_9-10</x:v>
      </x:c>
      <x:c r="K32" s="24" t="str">
        <x:v>OPENING</x:v>
      </x:c>
      <x:c r="L32" s="24" t="str">
        <x:v>P08-S02-MEO-PRIMARY.REFERENCE.png|P08-S02-MEO-SECONDARY.REFERENCE.png|P08-S02-BO-FRONT.REFERENCE.jpg|P08-S02-BO-SIDE.REFERENCE.jpg</x:v>
      </x:c>
      <x:c r="M32" s="24" t="str">
        <x:v>P08-S02-I002-S1-05A-F01</x:v>
      </x:c>
      <x:c r="N32" s="25" t="str">
        <x:v>PASS</x:v>
      </x:c>
    </x:row>
    <x:row r="33" ht="78" customHeight="1">
      <x:c r="A33" s="57" t="n">
        <x:v>32</x:v>
      </x:c>
      <x:c r="B33" s="24" t="str">
        <x:v>P08-S02-I002-S1-05A-F02</x:v>
      </x:c>
      <x:c r="C33" s="24" t="str">
        <x:v>STORYBOARD</x:v>
      </x:c>
      <x:c r="D33" s="24" t="str">
        <x:v>I002-S1-05A</x:v>
      </x:c>
      <x:c r="E33" s="24" t="str">
        <x:v>5</x:v>
      </x:c>
      <x:c r="F33" s="24" t="str">
        <x:v>A</x:v>
      </x:c>
      <x:c r="G33" s="24" t="str">
        <x:v>Đường thì thầm bằng phễu và len</x:v>
      </x:c>
      <x:c r="H33" s="24" t="str">
        <x:v>F02</x:v>
      </x:c>
      <x:c r="I33" s="24" t="str">
        <x:v>2-7s</x:v>
      </x:c>
      <x:c r="J33" s="24" t="str">
        <x:v>STANDARD_0-2_2-7_7-9_9-10</x:v>
      </x:c>
      <x:c r="K33" s="24" t="str">
        <x:v>CAUSAL_ACTION</x:v>
      </x:c>
      <x:c r="L33" s="24" t="str">
        <x:v>P08-S02-MEO-PRIMARY.REFERENCE.png|P08-S02-MEO-SECONDARY.REFERENCE.png|P08-S02-BO-FRONT.REFERENCE.jpg|P08-S02-BO-SIDE.REFERENCE.jpg</x:v>
      </x:c>
      <x:c r="M33" s="24" t="str">
        <x:v>P08-S02-I002-S1-05A-F02</x:v>
      </x:c>
      <x:c r="N33" s="25" t="str">
        <x:v>PASS</x:v>
      </x:c>
    </x:row>
    <x:row r="34" ht="78" customHeight="1">
      <x:c r="A34" s="57" t="n">
        <x:v>33</x:v>
      </x:c>
      <x:c r="B34" s="24" t="str">
        <x:v>P08-S02-I002-S1-05A-F03</x:v>
      </x:c>
      <x:c r="C34" s="24" t="str">
        <x:v>STORYBOARD</x:v>
      </x:c>
      <x:c r="D34" s="24" t="str">
        <x:v>I002-S1-05A</x:v>
      </x:c>
      <x:c r="E34" s="24" t="str">
        <x:v>5</x:v>
      </x:c>
      <x:c r="F34" s="24" t="str">
        <x:v>A</x:v>
      </x:c>
      <x:c r="G34" s="24" t="str">
        <x:v>Đường thì thầm bằng phễu và len</x:v>
      </x:c>
      <x:c r="H34" s="24" t="str">
        <x:v>F03</x:v>
      </x:c>
      <x:c r="I34" s="24" t="str">
        <x:v>7-10s</x:v>
      </x:c>
      <x:c r="J34" s="24" t="str">
        <x:v>STANDARD_0-2_2-7_7-9_9-10</x:v>
      </x:c>
      <x:c r="K34" s="24" t="str">
        <x:v>CLOSING_STATE</x:v>
      </x:c>
      <x:c r="L34" s="24" t="str">
        <x:v>P08-S02-MEO-PRIMARY.REFERENCE.png|P08-S02-MEO-SECONDARY.REFERENCE.png|P08-S02-BO-FRONT.REFERENCE.jpg|P08-S02-BO-SIDE.REFERENCE.jpg</x:v>
      </x:c>
      <x:c r="M34" s="24" t="str">
        <x:v>P08-S02-I002-S1-05A-F03</x:v>
      </x:c>
      <x:c r="N34" s="25" t="str">
        <x:v>PASS</x:v>
      </x:c>
    </x:row>
    <x:row r="35" ht="78" customHeight="1">
      <x:c r="A35" s="57" t="n">
        <x:v>34</x:v>
      </x:c>
      <x:c r="B35" s="24" t="str">
        <x:v>P08-S02-I002-S1-05B-F01</x:v>
      </x:c>
      <x:c r="C35" s="24" t="str">
        <x:v>STORYBOARD</x:v>
      </x:c>
      <x:c r="D35" s="24" t="str">
        <x:v>I002-S1-05B</x:v>
      </x:c>
      <x:c r="E35" s="24" t="str">
        <x:v>5</x:v>
      </x:c>
      <x:c r="F35" s="24" t="str">
        <x:v>B</x:v>
      </x:c>
      <x:c r="G35" s="24" t="str">
        <x:v>Đường thì thầm bằng phễu và len</x:v>
      </x:c>
      <x:c r="H35" s="24" t="str">
        <x:v>F01</x:v>
      </x:c>
      <x:c r="I35" s="24" t="str">
        <x:v>0-2s</x:v>
      </x:c>
      <x:c r="J35" s="24" t="str">
        <x:v>STANDARD_0-2_2-7_7-9_9-10</x:v>
      </x:c>
      <x:c r="K35" s="24" t="str">
        <x:v>OPENING</x:v>
      </x:c>
      <x:c r="L35" s="24" t="str">
        <x:v>P08-S02-MEO-PRIMARY.REFERENCE.png|P08-S02-MEO-SECONDARY.REFERENCE.png|P08-S02-BO-FRONT.REFERENCE.jpg|P08-S02-BO-SIDE.REFERENCE.jpg</x:v>
      </x:c>
      <x:c r="M35" s="24" t="str">
        <x:v>P08-S02-I002-S1-05B-F01</x:v>
      </x:c>
      <x:c r="N35" s="25" t="str">
        <x:v>PASS</x:v>
      </x:c>
    </x:row>
    <x:row r="36" ht="78" customHeight="1">
      <x:c r="A36" s="57" t="n">
        <x:v>35</x:v>
      </x:c>
      <x:c r="B36" s="24" t="str">
        <x:v>P08-S02-I002-S1-05B-F02</x:v>
      </x:c>
      <x:c r="C36" s="24" t="str">
        <x:v>STORYBOARD</x:v>
      </x:c>
      <x:c r="D36" s="24" t="str">
        <x:v>I002-S1-05B</x:v>
      </x:c>
      <x:c r="E36" s="24" t="str">
        <x:v>5</x:v>
      </x:c>
      <x:c r="F36" s="24" t="str">
        <x:v>B</x:v>
      </x:c>
      <x:c r="G36" s="24" t="str">
        <x:v>Đường thì thầm bằng phễu và len</x:v>
      </x:c>
      <x:c r="H36" s="24" t="str">
        <x:v>F02</x:v>
      </x:c>
      <x:c r="I36" s="24" t="str">
        <x:v>2-7s</x:v>
      </x:c>
      <x:c r="J36" s="24" t="str">
        <x:v>STANDARD_0-2_2-7_7-9_9-10</x:v>
      </x:c>
      <x:c r="K36" s="24" t="str">
        <x:v>CAUSAL_ACTION</x:v>
      </x:c>
      <x:c r="L36" s="24" t="str">
        <x:v>P08-S02-MEO-PRIMARY.REFERENCE.png|P08-S02-MEO-SECONDARY.REFERENCE.png|P08-S02-BO-FRONT.REFERENCE.jpg|P08-S02-BO-SIDE.REFERENCE.jpg</x:v>
      </x:c>
      <x:c r="M36" s="24" t="str">
        <x:v>P08-S02-I002-S1-05B-F02</x:v>
      </x:c>
      <x:c r="N36" s="25" t="str">
        <x:v>PASS</x:v>
      </x:c>
    </x:row>
    <x:row r="37" ht="78" customHeight="1">
      <x:c r="A37" s="57" t="n">
        <x:v>36</x:v>
      </x:c>
      <x:c r="B37" s="24" t="str">
        <x:v>P08-S02-I002-S1-05B-F03</x:v>
      </x:c>
      <x:c r="C37" s="24" t="str">
        <x:v>STORYBOARD</x:v>
      </x:c>
      <x:c r="D37" s="24" t="str">
        <x:v>I002-S1-05B</x:v>
      </x:c>
      <x:c r="E37" s="24" t="str">
        <x:v>5</x:v>
      </x:c>
      <x:c r="F37" s="24" t="str">
        <x:v>B</x:v>
      </x:c>
      <x:c r="G37" s="24" t="str">
        <x:v>Đường thì thầm bằng phễu và len</x:v>
      </x:c>
      <x:c r="H37" s="24" t="str">
        <x:v>F03</x:v>
      </x:c>
      <x:c r="I37" s="24" t="str">
        <x:v>7-10s</x:v>
      </x:c>
      <x:c r="J37" s="24" t="str">
        <x:v>STANDARD_0-2_2-7_7-9_9-10</x:v>
      </x:c>
      <x:c r="K37" s="24" t="str">
        <x:v>CLOSING_STATE</x:v>
      </x:c>
      <x:c r="L37" s="24" t="str">
        <x:v>P08-S02-MEO-PRIMARY.REFERENCE.png|P08-S02-MEO-SECONDARY.REFERENCE.png|P08-S02-BO-FRONT.REFERENCE.jpg|P08-S02-BO-SIDE.REFERENCE.jpg</x:v>
      </x:c>
      <x:c r="M37" s="24" t="str">
        <x:v>P08-S02-I002-S1-05B-F03</x:v>
      </x:c>
      <x:c r="N37" s="25" t="str">
        <x:v>PASS</x:v>
      </x:c>
    </x:row>
    <x:row r="38" ht="78" customHeight="1">
      <x:c r="A38" s="57" t="n">
        <x:v>37</x:v>
      </x:c>
      <x:c r="B38" s="24" t="str">
        <x:v>P08-S02-I002-S1-06A-F01</x:v>
      </x:c>
      <x:c r="C38" s="24" t="str">
        <x:v>STORYBOARD</x:v>
      </x:c>
      <x:c r="D38" s="24" t="str">
        <x:v>I002-S1-06A</x:v>
      </x:c>
      <x:c r="E38" s="24" t="str">
        <x:v>6</x:v>
      </x:c>
      <x:c r="F38" s="24" t="str">
        <x:v>A</x:v>
      </x:c>
      <x:c r="G38" s="24" t="str">
        <x:v>Kim nhảy bằng nút chai và que</x:v>
      </x:c>
      <x:c r="H38" s="24" t="str">
        <x:v>F01</x:v>
      </x:c>
      <x:c r="I38" s="24" t="str">
        <x:v>0-2s</x:v>
      </x:c>
      <x:c r="J38" s="24" t="str">
        <x:v>STANDARD_0-2_2-7_7-9_9-10</x:v>
      </x:c>
      <x:c r="K38" s="24" t="str">
        <x:v>OPENING</x:v>
      </x:c>
      <x:c r="L38" s="24" t="str">
        <x:v>P08-S02-MEO-PRIMARY.REFERENCE.png|P08-S02-MEO-SECONDARY.REFERENCE.png|P08-S02-BO-FRONT.REFERENCE.jpg|P08-S02-BO-SIDE.REFERENCE.jpg</x:v>
      </x:c>
      <x:c r="M38" s="24" t="str">
        <x:v>P08-S02-I002-S1-06A-F01</x:v>
      </x:c>
      <x:c r="N38" s="25" t="str">
        <x:v>PASS</x:v>
      </x:c>
    </x:row>
    <x:row r="39" ht="78" customHeight="1">
      <x:c r="A39" s="57" t="n">
        <x:v>38</x:v>
      </x:c>
      <x:c r="B39" s="24" t="str">
        <x:v>P08-S02-I002-S1-06A-F02</x:v>
      </x:c>
      <x:c r="C39" s="24" t="str">
        <x:v>STORYBOARD</x:v>
      </x:c>
      <x:c r="D39" s="24" t="str">
        <x:v>I002-S1-06A</x:v>
      </x:c>
      <x:c r="E39" s="24" t="str">
        <x:v>6</x:v>
      </x:c>
      <x:c r="F39" s="24" t="str">
        <x:v>A</x:v>
      </x:c>
      <x:c r="G39" s="24" t="str">
        <x:v>Kim nhảy bằng nút chai và que</x:v>
      </x:c>
      <x:c r="H39" s="24" t="str">
        <x:v>F02</x:v>
      </x:c>
      <x:c r="I39" s="24" t="str">
        <x:v>2-7s</x:v>
      </x:c>
      <x:c r="J39" s="24" t="str">
        <x:v>STANDARD_0-2_2-7_7-9_9-10</x:v>
      </x:c>
      <x:c r="K39" s="24" t="str">
        <x:v>CAUSAL_ACTION</x:v>
      </x:c>
      <x:c r="L39" s="24" t="str">
        <x:v>P08-S02-MEO-PRIMARY.REFERENCE.png|P08-S02-MEO-SECONDARY.REFERENCE.png|P08-S02-BO-FRONT.REFERENCE.jpg|P08-S02-BO-SIDE.REFERENCE.jpg</x:v>
      </x:c>
      <x:c r="M39" s="24" t="str">
        <x:v>P08-S02-I002-S1-06A-F02</x:v>
      </x:c>
      <x:c r="N39" s="25" t="str">
        <x:v>PASS</x:v>
      </x:c>
    </x:row>
    <x:row r="40" ht="78" customHeight="1">
      <x:c r="A40" s="57" t="n">
        <x:v>39</x:v>
      </x:c>
      <x:c r="B40" s="24" t="str">
        <x:v>P08-S02-I002-S1-06A-F03</x:v>
      </x:c>
      <x:c r="C40" s="24" t="str">
        <x:v>STORYBOARD</x:v>
      </x:c>
      <x:c r="D40" s="24" t="str">
        <x:v>I002-S1-06A</x:v>
      </x:c>
      <x:c r="E40" s="24" t="str">
        <x:v>6</x:v>
      </x:c>
      <x:c r="F40" s="24" t="str">
        <x:v>A</x:v>
      </x:c>
      <x:c r="G40" s="24" t="str">
        <x:v>Kim nhảy bằng nút chai và que</x:v>
      </x:c>
      <x:c r="H40" s="24" t="str">
        <x:v>F03</x:v>
      </x:c>
      <x:c r="I40" s="24" t="str">
        <x:v>7-10s</x:v>
      </x:c>
      <x:c r="J40" s="24" t="str">
        <x:v>STANDARD_0-2_2-7_7-9_9-10</x:v>
      </x:c>
      <x:c r="K40" s="24" t="str">
        <x:v>CLOSING_STATE</x:v>
      </x:c>
      <x:c r="L40" s="24" t="str">
        <x:v>P08-S02-MEO-PRIMARY.REFERENCE.png|P08-S02-MEO-SECONDARY.REFERENCE.png|P08-S02-BO-FRONT.REFERENCE.jpg|P08-S02-BO-SIDE.REFERENCE.jpg</x:v>
      </x:c>
      <x:c r="M40" s="24" t="str">
        <x:v>P08-S02-I002-S1-06A-F03</x:v>
      </x:c>
      <x:c r="N40" s="25" t="str">
        <x:v>PASS</x:v>
      </x:c>
    </x:row>
    <x:row r="41" ht="78" customHeight="1">
      <x:c r="A41" s="57" t="n">
        <x:v>40</x:v>
      </x:c>
      <x:c r="B41" s="24" t="str">
        <x:v>P08-S02-I002-S1-06B-F01</x:v>
      </x:c>
      <x:c r="C41" s="24" t="str">
        <x:v>STORYBOARD</x:v>
      </x:c>
      <x:c r="D41" s="24" t="str">
        <x:v>I002-S1-06B</x:v>
      </x:c>
      <x:c r="E41" s="24" t="str">
        <x:v>6</x:v>
      </x:c>
      <x:c r="F41" s="24" t="str">
        <x:v>B</x:v>
      </x:c>
      <x:c r="G41" s="24" t="str">
        <x:v>Kim nhảy bằng nút chai và que</x:v>
      </x:c>
      <x:c r="H41" s="24" t="str">
        <x:v>F01</x:v>
      </x:c>
      <x:c r="I41" s="24" t="str">
        <x:v>0-2s</x:v>
      </x:c>
      <x:c r="J41" s="24" t="str">
        <x:v>STANDARD_0-2_2-7_7-9_9-10</x:v>
      </x:c>
      <x:c r="K41" s="24" t="str">
        <x:v>OPENING</x:v>
      </x:c>
      <x:c r="L41" s="24" t="str">
        <x:v>P08-S02-MEO-PRIMARY.REFERENCE.png|P08-S02-MEO-SECONDARY.REFERENCE.png|P08-S02-BO-FRONT.REFERENCE.jpg|P08-S02-BO-SIDE.REFERENCE.jpg</x:v>
      </x:c>
      <x:c r="M41" s="24" t="str">
        <x:v>P08-S02-I002-S1-06B-F01</x:v>
      </x:c>
      <x:c r="N41" s="25" t="str">
        <x:v>PASS</x:v>
      </x:c>
    </x:row>
    <x:row r="42" ht="78" customHeight="1">
      <x:c r="A42" s="57" t="n">
        <x:v>41</x:v>
      </x:c>
      <x:c r="B42" s="24" t="str">
        <x:v>P08-S02-I002-S1-06B-F02</x:v>
      </x:c>
      <x:c r="C42" s="24" t="str">
        <x:v>STORYBOARD</x:v>
      </x:c>
      <x:c r="D42" s="24" t="str">
        <x:v>I002-S1-06B</x:v>
      </x:c>
      <x:c r="E42" s="24" t="str">
        <x:v>6</x:v>
      </x:c>
      <x:c r="F42" s="24" t="str">
        <x:v>B</x:v>
      </x:c>
      <x:c r="G42" s="24" t="str">
        <x:v>Kim nhảy bằng nút chai và que</x:v>
      </x:c>
      <x:c r="H42" s="24" t="str">
        <x:v>F02</x:v>
      </x:c>
      <x:c r="I42" s="24" t="str">
        <x:v>2-7s</x:v>
      </x:c>
      <x:c r="J42" s="24" t="str">
        <x:v>STANDARD_0-2_2-7_7-9_9-10</x:v>
      </x:c>
      <x:c r="K42" s="24" t="str">
        <x:v>CAUSAL_ACTION</x:v>
      </x:c>
      <x:c r="L42" s="24" t="str">
        <x:v>P08-S02-MEO-PRIMARY.REFERENCE.png|P08-S02-MEO-SECONDARY.REFERENCE.png|P08-S02-BO-FRONT.REFERENCE.jpg|P08-S02-BO-SIDE.REFERENCE.jpg</x:v>
      </x:c>
      <x:c r="M42" s="24" t="str">
        <x:v>P08-S02-I002-S1-06B-F02</x:v>
      </x:c>
      <x:c r="N42" s="25" t="str">
        <x:v>PASS</x:v>
      </x:c>
    </x:row>
    <x:row r="43" ht="78" customHeight="1">
      <x:c r="A43" s="57" t="n">
        <x:v>42</x:v>
      </x:c>
      <x:c r="B43" s="24" t="str">
        <x:v>P08-S02-I002-S1-06B-F03</x:v>
      </x:c>
      <x:c r="C43" s="24" t="str">
        <x:v>STORYBOARD</x:v>
      </x:c>
      <x:c r="D43" s="24" t="str">
        <x:v>I002-S1-06B</x:v>
      </x:c>
      <x:c r="E43" s="24" t="str">
        <x:v>6</x:v>
      </x:c>
      <x:c r="F43" s="24" t="str">
        <x:v>B</x:v>
      </x:c>
      <x:c r="G43" s="24" t="str">
        <x:v>Kim nhảy bằng nút chai và que</x:v>
      </x:c>
      <x:c r="H43" s="24" t="str">
        <x:v>F03</x:v>
      </x:c>
      <x:c r="I43" s="24" t="str">
        <x:v>7-10s</x:v>
      </x:c>
      <x:c r="J43" s="24" t="str">
        <x:v>STANDARD_0-2_2-7_7-9_9-10</x:v>
      </x:c>
      <x:c r="K43" s="24" t="str">
        <x:v>CLOSING_STATE</x:v>
      </x:c>
      <x:c r="L43" s="24" t="str">
        <x:v>P08-S02-MEO-PRIMARY.REFERENCE.png|P08-S02-MEO-SECONDARY.REFERENCE.png|P08-S02-BO-FRONT.REFERENCE.jpg|P08-S02-BO-SIDE.REFERENCE.jpg</x:v>
      </x:c>
      <x:c r="M43" s="24" t="str">
        <x:v>P08-S02-I002-S1-06B-F03</x:v>
      </x:c>
      <x:c r="N43" s="25" t="str">
        <x:v>PASS</x:v>
      </x:c>
    </x:row>
    <x:row r="44" ht="78" customHeight="1">
      <x:c r="A44" s="57" t="n">
        <x:v>43</x:v>
      </x:c>
      <x:c r="B44" s="24" t="str">
        <x:v>P08-S02-I002-S1-07A-F01</x:v>
      </x:c>
      <x:c r="C44" s="24" t="str">
        <x:v>STORYBOARD</x:v>
      </x:c>
      <x:c r="D44" s="24" t="str">
        <x:v>I002-S1-07A</x:v>
      </x:c>
      <x:c r="E44" s="24" t="str">
        <x:v>7</x:v>
      </x:c>
      <x:c r="F44" s="24" t="str">
        <x:v>A</x:v>
      </x:c>
      <x:c r="G44" s="24" t="str">
        <x:v>Thang xoắn bằng nắp và que</x:v>
      </x:c>
      <x:c r="H44" s="24" t="str">
        <x:v>F01</x:v>
      </x:c>
      <x:c r="I44" s="24" t="str">
        <x:v>0-2s</x:v>
      </x:c>
      <x:c r="J44" s="24" t="str">
        <x:v>STANDARD_0-2_2-7_7-9_9-10</x:v>
      </x:c>
      <x:c r="K44" s="24" t="str">
        <x:v>OPENING</x:v>
      </x:c>
      <x:c r="L44" s="24" t="str">
        <x:v>P08-S02-MEO-PRIMARY.REFERENCE.png|P08-S02-MEO-SECONDARY.REFERENCE.png|P08-S02-BO-FRONT.REFERENCE.jpg|P08-S02-BO-SIDE.REFERENCE.jpg</x:v>
      </x:c>
      <x:c r="M44" s="24" t="str">
        <x:v>P08-S02-I002-S1-07A-F01</x:v>
      </x:c>
      <x:c r="N44" s="25" t="str">
        <x:v>PASS</x:v>
      </x:c>
    </x:row>
    <x:row r="45" ht="78" customHeight="1">
      <x:c r="A45" s="57" t="n">
        <x:v>44</x:v>
      </x:c>
      <x:c r="B45" s="24" t="str">
        <x:v>P08-S02-I002-S1-07A-F02</x:v>
      </x:c>
      <x:c r="C45" s="24" t="str">
        <x:v>STORYBOARD</x:v>
      </x:c>
      <x:c r="D45" s="24" t="str">
        <x:v>I002-S1-07A</x:v>
      </x:c>
      <x:c r="E45" s="24" t="str">
        <x:v>7</x:v>
      </x:c>
      <x:c r="F45" s="24" t="str">
        <x:v>A</x:v>
      </x:c>
      <x:c r="G45" s="24" t="str">
        <x:v>Thang xoắn bằng nắp và que</x:v>
      </x:c>
      <x:c r="H45" s="24" t="str">
        <x:v>F02</x:v>
      </x:c>
      <x:c r="I45" s="24" t="str">
        <x:v>2-7s</x:v>
      </x:c>
      <x:c r="J45" s="24" t="str">
        <x:v>STANDARD_0-2_2-7_7-9_9-10</x:v>
      </x:c>
      <x:c r="K45" s="24" t="str">
        <x:v>CAUSAL_ACTION</x:v>
      </x:c>
      <x:c r="L45" s="24" t="str">
        <x:v>P08-S02-MEO-PRIMARY.REFERENCE.png|P08-S02-MEO-SECONDARY.REFERENCE.png|P08-S02-BO-FRONT.REFERENCE.jpg|P08-S02-BO-SIDE.REFERENCE.jpg</x:v>
      </x:c>
      <x:c r="M45" s="24" t="str">
        <x:v>P08-S02-I002-S1-07A-F02</x:v>
      </x:c>
      <x:c r="N45" s="25" t="str">
        <x:v>PASS</x:v>
      </x:c>
    </x:row>
    <x:row r="46" ht="78" customHeight="1">
      <x:c r="A46" s="57" t="n">
        <x:v>45</x:v>
      </x:c>
      <x:c r="B46" s="24" t="str">
        <x:v>P08-S02-I002-S1-07A-F03</x:v>
      </x:c>
      <x:c r="C46" s="24" t="str">
        <x:v>STORYBOARD</x:v>
      </x:c>
      <x:c r="D46" s="24" t="str">
        <x:v>I002-S1-07A</x:v>
      </x:c>
      <x:c r="E46" s="24" t="str">
        <x:v>7</x:v>
      </x:c>
      <x:c r="F46" s="24" t="str">
        <x:v>A</x:v>
      </x:c>
      <x:c r="G46" s="24" t="str">
        <x:v>Thang xoắn bằng nắp và que</x:v>
      </x:c>
      <x:c r="H46" s="24" t="str">
        <x:v>F03</x:v>
      </x:c>
      <x:c r="I46" s="24" t="str">
        <x:v>7-10s</x:v>
      </x:c>
      <x:c r="J46" s="24" t="str">
        <x:v>STANDARD_0-2_2-7_7-9_9-10</x:v>
      </x:c>
      <x:c r="K46" s="24" t="str">
        <x:v>CLOSING_STATE</x:v>
      </x:c>
      <x:c r="L46" s="24" t="str">
        <x:v>P08-S02-MEO-PRIMARY.REFERENCE.png|P08-S02-MEO-SECONDARY.REFERENCE.png|P08-S02-BO-FRONT.REFERENCE.jpg|P08-S02-BO-SIDE.REFERENCE.jpg</x:v>
      </x:c>
      <x:c r="M46" s="24" t="str">
        <x:v>P08-S02-I002-S1-07A-F03</x:v>
      </x:c>
      <x:c r="N46" s="25" t="str">
        <x:v>PASS</x:v>
      </x:c>
    </x:row>
    <x:row r="47" ht="78" customHeight="1">
      <x:c r="A47" s="57" t="n">
        <x:v>46</x:v>
      </x:c>
      <x:c r="B47" s="24" t="str">
        <x:v>P08-S02-I002-S1-07B-F01</x:v>
      </x:c>
      <x:c r="C47" s="24" t="str">
        <x:v>STORYBOARD</x:v>
      </x:c>
      <x:c r="D47" s="24" t="str">
        <x:v>I002-S1-07B</x:v>
      </x:c>
      <x:c r="E47" s="24" t="str">
        <x:v>7</x:v>
      </x:c>
      <x:c r="F47" s="24" t="str">
        <x:v>B</x:v>
      </x:c>
      <x:c r="G47" s="24" t="str">
        <x:v>Thang xoắn bằng nắp và que</x:v>
      </x:c>
      <x:c r="H47" s="24" t="str">
        <x:v>F01</x:v>
      </x:c>
      <x:c r="I47" s="24" t="str">
        <x:v>0-2s</x:v>
      </x:c>
      <x:c r="J47" s="24" t="str">
        <x:v>STANDARD_0-2_2-7_7-9_9-10</x:v>
      </x:c>
      <x:c r="K47" s="24" t="str">
        <x:v>OPENING</x:v>
      </x:c>
      <x:c r="L47" s="24" t="str">
        <x:v>P08-S02-MEO-PRIMARY.REFERENCE.png|P08-S02-MEO-SECONDARY.REFERENCE.png|P08-S02-BO-FRONT.REFERENCE.jpg|P08-S02-BO-SIDE.REFERENCE.jpg</x:v>
      </x:c>
      <x:c r="M47" s="24" t="str">
        <x:v>P08-S02-I002-S1-07B-F01</x:v>
      </x:c>
      <x:c r="N47" s="25" t="str">
        <x:v>PASS</x:v>
      </x:c>
    </x:row>
    <x:row r="48" ht="78" customHeight="1">
      <x:c r="A48" s="57" t="n">
        <x:v>47</x:v>
      </x:c>
      <x:c r="B48" s="24" t="str">
        <x:v>P08-S02-I002-S1-07B-F02</x:v>
      </x:c>
      <x:c r="C48" s="24" t="str">
        <x:v>STORYBOARD</x:v>
      </x:c>
      <x:c r="D48" s="24" t="str">
        <x:v>I002-S1-07B</x:v>
      </x:c>
      <x:c r="E48" s="24" t="str">
        <x:v>7</x:v>
      </x:c>
      <x:c r="F48" s="24" t="str">
        <x:v>B</x:v>
      </x:c>
      <x:c r="G48" s="24" t="str">
        <x:v>Thang xoắn bằng nắp và que</x:v>
      </x:c>
      <x:c r="H48" s="24" t="str">
        <x:v>F02</x:v>
      </x:c>
      <x:c r="I48" s="24" t="str">
        <x:v>2-7s</x:v>
      </x:c>
      <x:c r="J48" s="24" t="str">
        <x:v>STANDARD_0-2_2-7_7-9_9-10</x:v>
      </x:c>
      <x:c r="K48" s="24" t="str">
        <x:v>CAUSAL_ACTION</x:v>
      </x:c>
      <x:c r="L48" s="24" t="str">
        <x:v>P08-S02-MEO-PRIMARY.REFERENCE.png|P08-S02-MEO-SECONDARY.REFERENCE.png|P08-S02-BO-FRONT.REFERENCE.jpg|P08-S02-BO-SIDE.REFERENCE.jpg</x:v>
      </x:c>
      <x:c r="M48" s="24" t="str">
        <x:v>P08-S02-I002-S1-07B-F02</x:v>
      </x:c>
      <x:c r="N48" s="25" t="str">
        <x:v>PASS</x:v>
      </x:c>
    </x:row>
    <x:row r="49" ht="78" customHeight="1">
      <x:c r="A49" s="57" t="n">
        <x:v>48</x:v>
      </x:c>
      <x:c r="B49" s="24" t="str">
        <x:v>P08-S02-I002-S1-07B-F03</x:v>
      </x:c>
      <x:c r="C49" s="24" t="str">
        <x:v>STORYBOARD</x:v>
      </x:c>
      <x:c r="D49" s="24" t="str">
        <x:v>I002-S1-07B</x:v>
      </x:c>
      <x:c r="E49" s="24" t="str">
        <x:v>7</x:v>
      </x:c>
      <x:c r="F49" s="24" t="str">
        <x:v>B</x:v>
      </x:c>
      <x:c r="G49" s="24" t="str">
        <x:v>Thang xoắn bằng nắp và que</x:v>
      </x:c>
      <x:c r="H49" s="24" t="str">
        <x:v>F03</x:v>
      </x:c>
      <x:c r="I49" s="24" t="str">
        <x:v>7-10s</x:v>
      </x:c>
      <x:c r="J49" s="24" t="str">
        <x:v>STANDARD_0-2_2-7_7-9_9-10</x:v>
      </x:c>
      <x:c r="K49" s="24" t="str">
        <x:v>CLOSING_STATE</x:v>
      </x:c>
      <x:c r="L49" s="24" t="str">
        <x:v>P08-S02-MEO-PRIMARY.REFERENCE.png|P08-S02-MEO-SECONDARY.REFERENCE.png|P08-S02-BO-FRONT.REFERENCE.jpg|P08-S02-BO-SIDE.REFERENCE.jpg</x:v>
      </x:c>
      <x:c r="M49" s="24" t="str">
        <x:v>P08-S02-I002-S1-07B-F03</x:v>
      </x:c>
      <x:c r="N49" s="25" t="str">
        <x:v>PASS</x:v>
      </x:c>
    </x:row>
    <x:row r="50" ht="78" customHeight="1">
      <x:c r="A50" s="57" t="n">
        <x:v>49</x:v>
      </x:c>
      <x:c r="B50" s="24" t="str">
        <x:v>P08-S02-I002-S1-08A-F01</x:v>
      </x:c>
      <x:c r="C50" s="24" t="str">
        <x:v>STORYBOARD</x:v>
      </x:c>
      <x:c r="D50" s="24" t="str">
        <x:v>I002-S1-08A</x:v>
      </x:c>
      <x:c r="E50" s="24" t="str">
        <x:v>8</x:v>
      </x:c>
      <x:c r="F50" s="24" t="str">
        <x:v>A</x:v>
      </x:c>
      <x:c r="G50" s="24" t="str">
        <x:v>Bộ nâng sao bằng bánh xe và ruy băng</x:v>
      </x:c>
      <x:c r="H50" s="24" t="str">
        <x:v>F01</x:v>
      </x:c>
      <x:c r="I50" s="24" t="str">
        <x:v>0-2s</x:v>
      </x:c>
      <x:c r="J50" s="24" t="str">
        <x:v>STANDARD_0-2_2-7_7-9_9-10</x:v>
      </x:c>
      <x:c r="K50" s="24" t="str">
        <x:v>OPENING</x:v>
      </x:c>
      <x:c r="L50" s="24" t="str">
        <x:v>P08-S02-MEO-PRIMARY.REFERENCE.png|P08-S02-MEO-SECONDARY.REFERENCE.png|P08-S02-BO-FRONT.REFERENCE.jpg|P08-S02-BO-SIDE.REFERENCE.jpg</x:v>
      </x:c>
      <x:c r="M50" s="24" t="str">
        <x:v>P08-S02-I002-S1-08A-F01</x:v>
      </x:c>
      <x:c r="N50" s="25" t="str">
        <x:v>PASS</x:v>
      </x:c>
    </x:row>
    <x:row r="51" ht="78" customHeight="1">
      <x:c r="A51" s="57" t="n">
        <x:v>50</x:v>
      </x:c>
      <x:c r="B51" s="24" t="str">
        <x:v>P08-S02-I002-S1-08A-F02</x:v>
      </x:c>
      <x:c r="C51" s="24" t="str">
        <x:v>STORYBOARD</x:v>
      </x:c>
      <x:c r="D51" s="24" t="str">
        <x:v>I002-S1-08A</x:v>
      </x:c>
      <x:c r="E51" s="24" t="str">
        <x:v>8</x:v>
      </x:c>
      <x:c r="F51" s="24" t="str">
        <x:v>A</x:v>
      </x:c>
      <x:c r="G51" s="24" t="str">
        <x:v>Bộ nâng sao bằng bánh xe và ruy băng</x:v>
      </x:c>
      <x:c r="H51" s="24" t="str">
        <x:v>F02</x:v>
      </x:c>
      <x:c r="I51" s="24" t="str">
        <x:v>2-7s</x:v>
      </x:c>
      <x:c r="J51" s="24" t="str">
        <x:v>STANDARD_0-2_2-7_7-9_9-10</x:v>
      </x:c>
      <x:c r="K51" s="24" t="str">
        <x:v>CAUSAL_ACTION</x:v>
      </x:c>
      <x:c r="L51" s="24" t="str">
        <x:v>P08-S02-MEO-PRIMARY.REFERENCE.png|P08-S02-MEO-SECONDARY.REFERENCE.png|P08-S02-BO-FRONT.REFERENCE.jpg|P08-S02-BO-SIDE.REFERENCE.jpg</x:v>
      </x:c>
      <x:c r="M51" s="24" t="str">
        <x:v>P08-S02-I002-S1-08A-F02</x:v>
      </x:c>
      <x:c r="N51" s="25" t="str">
        <x:v>PASS</x:v>
      </x:c>
    </x:row>
    <x:row r="52" ht="78" customHeight="1">
      <x:c r="A52" s="57" t="n">
        <x:v>51</x:v>
      </x:c>
      <x:c r="B52" s="24" t="str">
        <x:v>P08-S02-I002-S1-08A-F03</x:v>
      </x:c>
      <x:c r="C52" s="24" t="str">
        <x:v>STORYBOARD</x:v>
      </x:c>
      <x:c r="D52" s="24" t="str">
        <x:v>I002-S1-08A</x:v>
      </x:c>
      <x:c r="E52" s="24" t="str">
        <x:v>8</x:v>
      </x:c>
      <x:c r="F52" s="24" t="str">
        <x:v>A</x:v>
      </x:c>
      <x:c r="G52" s="24" t="str">
        <x:v>Bộ nâng sao bằng bánh xe và ruy băng</x:v>
      </x:c>
      <x:c r="H52" s="24" t="str">
        <x:v>F03</x:v>
      </x:c>
      <x:c r="I52" s="24" t="str">
        <x:v>7-10s</x:v>
      </x:c>
      <x:c r="J52" s="24" t="str">
        <x:v>STANDARD_0-2_2-7_7-9_9-10</x:v>
      </x:c>
      <x:c r="K52" s="24" t="str">
        <x:v>CLOSING_STATE</x:v>
      </x:c>
      <x:c r="L52" s="24" t="str">
        <x:v>P08-S02-MEO-PRIMARY.REFERENCE.png|P08-S02-MEO-SECONDARY.REFERENCE.png|P08-S02-BO-FRONT.REFERENCE.jpg|P08-S02-BO-SIDE.REFERENCE.jpg</x:v>
      </x:c>
      <x:c r="M52" s="24" t="str">
        <x:v>P08-S02-I002-S1-08A-F03</x:v>
      </x:c>
      <x:c r="N52" s="25" t="str">
        <x:v>PASS</x:v>
      </x:c>
    </x:row>
    <x:row r="53" ht="78" customHeight="1">
      <x:c r="A53" s="57" t="n">
        <x:v>52</x:v>
      </x:c>
      <x:c r="B53" s="24" t="str">
        <x:v>P08-S02-I002-S1-08B-F01</x:v>
      </x:c>
      <x:c r="C53" s="24" t="str">
        <x:v>STORYBOARD</x:v>
      </x:c>
      <x:c r="D53" s="24" t="str">
        <x:v>I002-S1-08B</x:v>
      </x:c>
      <x:c r="E53" s="24" t="str">
        <x:v>8</x:v>
      </x:c>
      <x:c r="F53" s="24" t="str">
        <x:v>B</x:v>
      </x:c>
      <x:c r="G53" s="24" t="str">
        <x:v>Bộ nâng sao bằng bánh xe và ruy băng</x:v>
      </x:c>
      <x:c r="H53" s="24" t="str">
        <x:v>F01</x:v>
      </x:c>
      <x:c r="I53" s="24" t="str">
        <x:v>0-2s</x:v>
      </x:c>
      <x:c r="J53" s="24" t="str">
        <x:v>STANDARD_0-2_2-7_7-9_9-10</x:v>
      </x:c>
      <x:c r="K53" s="24" t="str">
        <x:v>OPENING</x:v>
      </x:c>
      <x:c r="L53" s="24" t="str">
        <x:v>P08-S02-MEO-PRIMARY.REFERENCE.png|P08-S02-MEO-SECONDARY.REFERENCE.png|P08-S02-BO-FRONT.REFERENCE.jpg|P08-S02-BO-SIDE.REFERENCE.jpg</x:v>
      </x:c>
      <x:c r="M53" s="24" t="str">
        <x:v>P08-S02-I002-S1-08B-F01</x:v>
      </x:c>
      <x:c r="N53" s="25" t="str">
        <x:v>PASS</x:v>
      </x:c>
    </x:row>
    <x:row r="54" ht="78" customHeight="1">
      <x:c r="A54" s="57" t="n">
        <x:v>53</x:v>
      </x:c>
      <x:c r="B54" s="24" t="str">
        <x:v>P08-S02-I002-S1-08B-F02</x:v>
      </x:c>
      <x:c r="C54" s="24" t="str">
        <x:v>STORYBOARD</x:v>
      </x:c>
      <x:c r="D54" s="24" t="str">
        <x:v>I002-S1-08B</x:v>
      </x:c>
      <x:c r="E54" s="24" t="str">
        <x:v>8</x:v>
      </x:c>
      <x:c r="F54" s="24" t="str">
        <x:v>B</x:v>
      </x:c>
      <x:c r="G54" s="24" t="str">
        <x:v>Bộ nâng sao bằng bánh xe và ruy băng</x:v>
      </x:c>
      <x:c r="H54" s="24" t="str">
        <x:v>F02</x:v>
      </x:c>
      <x:c r="I54" s="24" t="str">
        <x:v>2-7s</x:v>
      </x:c>
      <x:c r="J54" s="24" t="str">
        <x:v>STANDARD_0-2_2-7_7-9_9-10</x:v>
      </x:c>
      <x:c r="K54" s="24" t="str">
        <x:v>CAUSAL_ACTION</x:v>
      </x:c>
      <x:c r="L54" s="24" t="str">
        <x:v>P08-S02-MEO-PRIMARY.REFERENCE.png|P08-S02-MEO-SECONDARY.REFERENCE.png|P08-S02-BO-FRONT.REFERENCE.jpg|P08-S02-BO-SIDE.REFERENCE.jpg</x:v>
      </x:c>
      <x:c r="M54" s="24" t="str">
        <x:v>P08-S02-I002-S1-08B-F02</x:v>
      </x:c>
      <x:c r="N54" s="25" t="str">
        <x:v>PASS</x:v>
      </x:c>
    </x:row>
    <x:row r="55" ht="78" customHeight="1">
      <x:c r="A55" s="57" t="n">
        <x:v>54</x:v>
      </x:c>
      <x:c r="B55" s="24" t="str">
        <x:v>P08-S02-I002-S1-08B-F03</x:v>
      </x:c>
      <x:c r="C55" s="24" t="str">
        <x:v>STORYBOARD</x:v>
      </x:c>
      <x:c r="D55" s="24" t="str">
        <x:v>I002-S1-08B</x:v>
      </x:c>
      <x:c r="E55" s="24" t="str">
        <x:v>8</x:v>
      </x:c>
      <x:c r="F55" s="24" t="str">
        <x:v>B</x:v>
      </x:c>
      <x:c r="G55" s="24" t="str">
        <x:v>Bộ nâng sao bằng bánh xe và ruy băng</x:v>
      </x:c>
      <x:c r="H55" s="24" t="str">
        <x:v>F03</x:v>
      </x:c>
      <x:c r="I55" s="24" t="str">
        <x:v>7-10s</x:v>
      </x:c>
      <x:c r="J55" s="24" t="str">
        <x:v>STANDARD_0-2_2-7_7-9_9-10</x:v>
      </x:c>
      <x:c r="K55" s="24" t="str">
        <x:v>CLOSING_STATE</x:v>
      </x:c>
      <x:c r="L55" s="24" t="str">
        <x:v>P08-S02-MEO-PRIMARY.REFERENCE.png|P08-S02-MEO-SECONDARY.REFERENCE.png|P08-S02-BO-FRONT.REFERENCE.jpg|P08-S02-BO-SIDE.REFERENCE.jpg</x:v>
      </x:c>
      <x:c r="M55" s="24" t="str">
        <x:v>P08-S02-I002-S1-08B-F03</x:v>
      </x:c>
      <x:c r="N55" s="25" t="str">
        <x:v>PASS</x:v>
      </x:c>
    </x:row>
    <x:row r="56" ht="78" customHeight="1">
      <x:c r="A56" s="57" t="n">
        <x:v>55</x:v>
      </x:c>
      <x:c r="B56" s="24" t="str">
        <x:v>P08-S02-I002-S1-09A-F01</x:v>
      </x:c>
      <x:c r="C56" s="24" t="str">
        <x:v>STORYBOARD</x:v>
      </x:c>
      <x:c r="D56" s="24" t="str">
        <x:v>I002-S1-09A</x:v>
      </x:c>
      <x:c r="E56" s="24" t="str">
        <x:v>9</x:v>
      </x:c>
      <x:c r="F56" s="24" t="str">
        <x:v>A</x:v>
      </x:c>
      <x:c r="G56" s="24" t="str">
        <x:v>Máy trộn quỹ đạo bằng bóng và bát</x:v>
      </x:c>
      <x:c r="H56" s="24" t="str">
        <x:v>F01</x:v>
      </x:c>
      <x:c r="I56" s="24" t="str">
        <x:v>0-2s</x:v>
      </x:c>
      <x:c r="J56" s="24" t="str">
        <x:v>STANDARD_0-2_2-7_7-9_9-10</x:v>
      </x:c>
      <x:c r="K56" s="24" t="str">
        <x:v>OPENING</x:v>
      </x:c>
      <x:c r="L56" s="24" t="str">
        <x:v>P08-S02-MEO-PRIMARY.REFERENCE.png|P08-S02-MEO-SECONDARY.REFERENCE.png|P08-S02-BO-FRONT.REFERENCE.jpg|P08-S02-BO-SIDE.REFERENCE.jpg</x:v>
      </x:c>
      <x:c r="M56" s="24" t="str">
        <x:v>P08-S02-I002-S1-09A-F01</x:v>
      </x:c>
      <x:c r="N56" s="25" t="str">
        <x:v>PASS</x:v>
      </x:c>
    </x:row>
    <x:row r="57" ht="78" customHeight="1">
      <x:c r="A57" s="57" t="n">
        <x:v>56</x:v>
      </x:c>
      <x:c r="B57" s="24" t="str">
        <x:v>P08-S02-I002-S1-09A-F02</x:v>
      </x:c>
      <x:c r="C57" s="24" t="str">
        <x:v>STORYBOARD</x:v>
      </x:c>
      <x:c r="D57" s="24" t="str">
        <x:v>I002-S1-09A</x:v>
      </x:c>
      <x:c r="E57" s="24" t="str">
        <x:v>9</x:v>
      </x:c>
      <x:c r="F57" s="24" t="str">
        <x:v>A</x:v>
      </x:c>
      <x:c r="G57" s="24" t="str">
        <x:v>Máy trộn quỹ đạo bằng bóng và bát</x:v>
      </x:c>
      <x:c r="H57" s="24" t="str">
        <x:v>F02</x:v>
      </x:c>
      <x:c r="I57" s="24" t="str">
        <x:v>2-7s</x:v>
      </x:c>
      <x:c r="J57" s="24" t="str">
        <x:v>STANDARD_0-2_2-7_7-9_9-10</x:v>
      </x:c>
      <x:c r="K57" s="24" t="str">
        <x:v>CAUSAL_ACTION</x:v>
      </x:c>
      <x:c r="L57" s="24" t="str">
        <x:v>P08-S02-MEO-PRIMARY.REFERENCE.png|P08-S02-MEO-SECONDARY.REFERENCE.png|P08-S02-BO-FRONT.REFERENCE.jpg|P08-S02-BO-SIDE.REFERENCE.jpg</x:v>
      </x:c>
      <x:c r="M57" s="24" t="str">
        <x:v>P08-S02-I002-S1-09A-F02</x:v>
      </x:c>
      <x:c r="N57" s="25" t="str">
        <x:v>PASS</x:v>
      </x:c>
    </x:row>
    <x:row r="58" ht="78" customHeight="1">
      <x:c r="A58" s="57" t="n">
        <x:v>57</x:v>
      </x:c>
      <x:c r="B58" s="24" t="str">
        <x:v>P08-S02-I002-S1-09A-F03</x:v>
      </x:c>
      <x:c r="C58" s="24" t="str">
        <x:v>STORYBOARD</x:v>
      </x:c>
      <x:c r="D58" s="24" t="str">
        <x:v>I002-S1-09A</x:v>
      </x:c>
      <x:c r="E58" s="24" t="str">
        <x:v>9</x:v>
      </x:c>
      <x:c r="F58" s="24" t="str">
        <x:v>A</x:v>
      </x:c>
      <x:c r="G58" s="24" t="str">
        <x:v>Máy trộn quỹ đạo bằng bóng và bát</x:v>
      </x:c>
      <x:c r="H58" s="24" t="str">
        <x:v>F03</x:v>
      </x:c>
      <x:c r="I58" s="24" t="str">
        <x:v>7-10s</x:v>
      </x:c>
      <x:c r="J58" s="24" t="str">
        <x:v>STANDARD_0-2_2-7_7-9_9-10</x:v>
      </x:c>
      <x:c r="K58" s="24" t="str">
        <x:v>CLOSING_STATE</x:v>
      </x:c>
      <x:c r="L58" s="24" t="str">
        <x:v>P08-S02-MEO-PRIMARY.REFERENCE.png|P08-S02-MEO-SECONDARY.REFERENCE.png|P08-S02-BO-FRONT.REFERENCE.jpg|P08-S02-BO-SIDE.REFERENCE.jpg</x:v>
      </x:c>
      <x:c r="M58" s="24" t="str">
        <x:v>P08-S02-I002-S1-09A-F03</x:v>
      </x:c>
      <x:c r="N58" s="25" t="str">
        <x:v>PASS</x:v>
      </x:c>
    </x:row>
    <x:row r="59" ht="78" customHeight="1">
      <x:c r="A59" s="57" t="n">
        <x:v>58</x:v>
      </x:c>
      <x:c r="B59" s="24" t="str">
        <x:v>P08-S02-I002-S1-09B-F01</x:v>
      </x:c>
      <x:c r="C59" s="24" t="str">
        <x:v>STORYBOARD</x:v>
      </x:c>
      <x:c r="D59" s="24" t="str">
        <x:v>I002-S1-09B</x:v>
      </x:c>
      <x:c r="E59" s="24" t="str">
        <x:v>9</x:v>
      </x:c>
      <x:c r="F59" s="24" t="str">
        <x:v>B</x:v>
      </x:c>
      <x:c r="G59" s="24" t="str">
        <x:v>Máy trộn quỹ đạo bằng bóng và bát</x:v>
      </x:c>
      <x:c r="H59" s="24" t="str">
        <x:v>F01</x:v>
      </x:c>
      <x:c r="I59" s="24" t="str">
        <x:v>0-2s</x:v>
      </x:c>
      <x:c r="J59" s="24" t="str">
        <x:v>STANDARD_0-2_2-7_7-9_9-10</x:v>
      </x:c>
      <x:c r="K59" s="24" t="str">
        <x:v>OPENING</x:v>
      </x:c>
      <x:c r="L59" s="24" t="str">
        <x:v>P08-S02-MEO-PRIMARY.REFERENCE.png|P08-S02-MEO-SECONDARY.REFERENCE.png|P08-S02-BO-FRONT.REFERENCE.jpg|P08-S02-BO-SIDE.REFERENCE.jpg</x:v>
      </x:c>
      <x:c r="M59" s="24" t="str">
        <x:v>P08-S02-I002-S1-09B-F01</x:v>
      </x:c>
      <x:c r="N59" s="25" t="str">
        <x:v>PASS</x:v>
      </x:c>
    </x:row>
    <x:row r="60" ht="78" customHeight="1">
      <x:c r="A60" s="57" t="n">
        <x:v>59</x:v>
      </x:c>
      <x:c r="B60" s="24" t="str">
        <x:v>P08-S02-I002-S1-09B-F02</x:v>
      </x:c>
      <x:c r="C60" s="24" t="str">
        <x:v>STORYBOARD</x:v>
      </x:c>
      <x:c r="D60" s="24" t="str">
        <x:v>I002-S1-09B</x:v>
      </x:c>
      <x:c r="E60" s="24" t="str">
        <x:v>9</x:v>
      </x:c>
      <x:c r="F60" s="24" t="str">
        <x:v>B</x:v>
      </x:c>
      <x:c r="G60" s="24" t="str">
        <x:v>Máy trộn quỹ đạo bằng bóng và bát</x:v>
      </x:c>
      <x:c r="H60" s="24" t="str">
        <x:v>F02</x:v>
      </x:c>
      <x:c r="I60" s="24" t="str">
        <x:v>2-7s</x:v>
      </x:c>
      <x:c r="J60" s="24" t="str">
        <x:v>STANDARD_0-2_2-7_7-9_9-10</x:v>
      </x:c>
      <x:c r="K60" s="24" t="str">
        <x:v>CAUSAL_ACTION</x:v>
      </x:c>
      <x:c r="L60" s="24" t="str">
        <x:v>P08-S02-MEO-PRIMARY.REFERENCE.png|P08-S02-MEO-SECONDARY.REFERENCE.png|P08-S02-BO-FRONT.REFERENCE.jpg|P08-S02-BO-SIDE.REFERENCE.jpg</x:v>
      </x:c>
      <x:c r="M60" s="24" t="str">
        <x:v>P08-S02-I002-S1-09B-F02</x:v>
      </x:c>
      <x:c r="N60" s="25" t="str">
        <x:v>PASS</x:v>
      </x:c>
    </x:row>
    <x:row r="61" ht="78" customHeight="1">
      <x:c r="A61" s="57" t="n">
        <x:v>60</x:v>
      </x:c>
      <x:c r="B61" s="24" t="str">
        <x:v>P08-S02-I002-S1-09B-F03</x:v>
      </x:c>
      <x:c r="C61" s="24" t="str">
        <x:v>STORYBOARD</x:v>
      </x:c>
      <x:c r="D61" s="24" t="str">
        <x:v>I002-S1-09B</x:v>
      </x:c>
      <x:c r="E61" s="24" t="str">
        <x:v>9</x:v>
      </x:c>
      <x:c r="F61" s="24" t="str">
        <x:v>B</x:v>
      </x:c>
      <x:c r="G61" s="24" t="str">
        <x:v>Máy trộn quỹ đạo bằng bóng và bát</x:v>
      </x:c>
      <x:c r="H61" s="24" t="str">
        <x:v>F03</x:v>
      </x:c>
      <x:c r="I61" s="24" t="str">
        <x:v>7-10s</x:v>
      </x:c>
      <x:c r="J61" s="24" t="str">
        <x:v>STANDARD_0-2_2-7_7-9_9-10</x:v>
      </x:c>
      <x:c r="K61" s="24" t="str">
        <x:v>CLOSING_STATE</x:v>
      </x:c>
      <x:c r="L61" s="24" t="str">
        <x:v>P08-S02-MEO-PRIMARY.REFERENCE.png|P08-S02-MEO-SECONDARY.REFERENCE.png|P08-S02-BO-FRONT.REFERENCE.jpg|P08-S02-BO-SIDE.REFERENCE.jpg</x:v>
      </x:c>
      <x:c r="M61" s="24" t="str">
        <x:v>P08-S02-I002-S1-09B-F03</x:v>
      </x:c>
      <x:c r="N61" s="25" t="str">
        <x:v>PASS</x:v>
      </x:c>
    </x:row>
    <x:row r="62" ht="78" customHeight="1">
      <x:c r="A62" s="57" t="n">
        <x:v>61</x:v>
      </x:c>
      <x:c r="B62" s="24" t="str">
        <x:v>P08-S02-I002-S1-10A-F01</x:v>
      </x:c>
      <x:c r="C62" s="24" t="str">
        <x:v>STORYBOARD</x:v>
      </x:c>
      <x:c r="D62" s="24" t="str">
        <x:v>I002-S1-10A</x:v>
      </x:c>
      <x:c r="E62" s="24" t="str">
        <x:v>10</x:v>
      </x:c>
      <x:c r="F62" s="24" t="str">
        <x:v>A</x:v>
      </x:c>
      <x:c r="G62" s="24" t="str">
        <x:v>Máy in ý tưởng bằng con lăn và thẻ</x:v>
      </x:c>
      <x:c r="H62" s="24" t="str">
        <x:v>F01</x:v>
      </x:c>
      <x:c r="I62" s="24" t="str">
        <x:v>0-2s</x:v>
      </x:c>
      <x:c r="J62" s="24" t="str">
        <x:v>STANDARD_0-2_2-7_7-9_9-10</x:v>
      </x:c>
      <x:c r="K62" s="24" t="str">
        <x:v>OPENING</x:v>
      </x:c>
      <x:c r="L62" s="24" t="str">
        <x:v>P08-S02-MEO-PRIMARY.REFERENCE.png|P08-S02-MEO-SECONDARY.REFERENCE.png|P08-S02-BO-FRONT.REFERENCE.jpg|P08-S02-BO-SIDE.REFERENCE.jpg</x:v>
      </x:c>
      <x:c r="M62" s="24" t="str">
        <x:v>P08-S02-I002-S1-10A-F01</x:v>
      </x:c>
      <x:c r="N62" s="25" t="str">
        <x:v>PASS</x:v>
      </x:c>
    </x:row>
    <x:row r="63" ht="78" customHeight="1">
      <x:c r="A63" s="57" t="n">
        <x:v>62</x:v>
      </x:c>
      <x:c r="B63" s="24" t="str">
        <x:v>P08-S02-I002-S1-10A-F02</x:v>
      </x:c>
      <x:c r="C63" s="24" t="str">
        <x:v>STORYBOARD</x:v>
      </x:c>
      <x:c r="D63" s="24" t="str">
        <x:v>I002-S1-10A</x:v>
      </x:c>
      <x:c r="E63" s="24" t="str">
        <x:v>10</x:v>
      </x:c>
      <x:c r="F63" s="24" t="str">
        <x:v>A</x:v>
      </x:c>
      <x:c r="G63" s="24" t="str">
        <x:v>Máy in ý tưởng bằng con lăn và thẻ</x:v>
      </x:c>
      <x:c r="H63" s="24" t="str">
        <x:v>F02</x:v>
      </x:c>
      <x:c r="I63" s="24" t="str">
        <x:v>2-7s</x:v>
      </x:c>
      <x:c r="J63" s="24" t="str">
        <x:v>STANDARD_0-2_2-7_7-9_9-10</x:v>
      </x:c>
      <x:c r="K63" s="24" t="str">
        <x:v>CAUSAL_ACTION</x:v>
      </x:c>
      <x:c r="L63" s="24" t="str">
        <x:v>P08-S02-MEO-PRIMARY.REFERENCE.png|P08-S02-MEO-SECONDARY.REFERENCE.png|P08-S02-BO-FRONT.REFERENCE.jpg|P08-S02-BO-SIDE.REFERENCE.jpg</x:v>
      </x:c>
      <x:c r="M63" s="24" t="str">
        <x:v>P08-S02-I002-S1-10A-F02</x:v>
      </x:c>
      <x:c r="N63" s="25" t="str">
        <x:v>PASS</x:v>
      </x:c>
    </x:row>
    <x:row r="64" ht="78" customHeight="1">
      <x:c r="A64" s="57" t="n">
        <x:v>63</x:v>
      </x:c>
      <x:c r="B64" s="24" t="str">
        <x:v>P08-S02-I002-S1-10A-F03</x:v>
      </x:c>
      <x:c r="C64" s="24" t="str">
        <x:v>STORYBOARD</x:v>
      </x:c>
      <x:c r="D64" s="24" t="str">
        <x:v>I002-S1-10A</x:v>
      </x:c>
      <x:c r="E64" s="24" t="str">
        <x:v>10</x:v>
      </x:c>
      <x:c r="F64" s="24" t="str">
        <x:v>A</x:v>
      </x:c>
      <x:c r="G64" s="24" t="str">
        <x:v>Máy in ý tưởng bằng con lăn và thẻ</x:v>
      </x:c>
      <x:c r="H64" s="24" t="str">
        <x:v>F03</x:v>
      </x:c>
      <x:c r="I64" s="24" t="str">
        <x:v>7-10s</x:v>
      </x:c>
      <x:c r="J64" s="24" t="str">
        <x:v>STANDARD_0-2_2-7_7-9_9-10</x:v>
      </x:c>
      <x:c r="K64" s="24" t="str">
        <x:v>CLOSING_STATE</x:v>
      </x:c>
      <x:c r="L64" s="24" t="str">
        <x:v>P08-S02-MEO-PRIMARY.REFERENCE.png|P08-S02-MEO-SECONDARY.REFERENCE.png|P08-S02-BO-FRONT.REFERENCE.jpg|P08-S02-BO-SIDE.REFERENCE.jpg</x:v>
      </x:c>
      <x:c r="M64" s="24" t="str">
        <x:v>P08-S02-I002-S1-10A-F03</x:v>
      </x:c>
      <x:c r="N64" s="25" t="str">
        <x:v>PASS</x:v>
      </x:c>
    </x:row>
    <x:row r="65" ht="78" customHeight="1">
      <x:c r="A65" s="57" t="n">
        <x:v>64</x:v>
      </x:c>
      <x:c r="B65" s="24" t="str">
        <x:v>P08-S02-I002-S1-10B-F01</x:v>
      </x:c>
      <x:c r="C65" s="24" t="str">
        <x:v>STORYBOARD</x:v>
      </x:c>
      <x:c r="D65" s="24" t="str">
        <x:v>I002-S1-10B</x:v>
      </x:c>
      <x:c r="E65" s="24" t="str">
        <x:v>10</x:v>
      </x:c>
      <x:c r="F65" s="24" t="str">
        <x:v>B</x:v>
      </x:c>
      <x:c r="G65" s="24" t="str">
        <x:v>Máy in ý tưởng bằng con lăn và thẻ</x:v>
      </x:c>
      <x:c r="H65" s="24" t="str">
        <x:v>F01</x:v>
      </x:c>
      <x:c r="I65" s="24" t="str">
        <x:v>0-2s</x:v>
      </x:c>
      <x:c r="J65" s="24" t="str">
        <x:v>STANDARD_0-2_2-7_7-9_9-10</x:v>
      </x:c>
      <x:c r="K65" s="24" t="str">
        <x:v>OPENING</x:v>
      </x:c>
      <x:c r="L65" s="24" t="str">
        <x:v>P08-S02-MEO-PRIMARY.REFERENCE.png|P08-S02-MEO-SECONDARY.REFERENCE.png|P08-S02-BO-FRONT.REFERENCE.jpg|P08-S02-BO-SIDE.REFERENCE.jpg</x:v>
      </x:c>
      <x:c r="M65" s="24" t="str">
        <x:v>P08-S02-I002-S1-10B-F01</x:v>
      </x:c>
      <x:c r="N65" s="25" t="str">
        <x:v>PASS</x:v>
      </x:c>
    </x:row>
    <x:row r="66" ht="78" customHeight="1">
      <x:c r="A66" s="57" t="n">
        <x:v>65</x:v>
      </x:c>
      <x:c r="B66" s="24" t="str">
        <x:v>P08-S02-I002-S1-10B-F02</x:v>
      </x:c>
      <x:c r="C66" s="24" t="str">
        <x:v>STORYBOARD</x:v>
      </x:c>
      <x:c r="D66" s="24" t="str">
        <x:v>I002-S1-10B</x:v>
      </x:c>
      <x:c r="E66" s="24" t="str">
        <x:v>10</x:v>
      </x:c>
      <x:c r="F66" s="24" t="str">
        <x:v>B</x:v>
      </x:c>
      <x:c r="G66" s="24" t="str">
        <x:v>Máy in ý tưởng bằng con lăn và thẻ</x:v>
      </x:c>
      <x:c r="H66" s="24" t="str">
        <x:v>F02</x:v>
      </x:c>
      <x:c r="I66" s="24" t="str">
        <x:v>2-7s</x:v>
      </x:c>
      <x:c r="J66" s="24" t="str">
        <x:v>STANDARD_0-2_2-7_7-9_9-10</x:v>
      </x:c>
      <x:c r="K66" s="24" t="str">
        <x:v>CAUSAL_ACTION</x:v>
      </x:c>
      <x:c r="L66" s="24" t="str">
        <x:v>P08-S02-MEO-PRIMARY.REFERENCE.png|P08-S02-MEO-SECONDARY.REFERENCE.png|P08-S02-BO-FRONT.REFERENCE.jpg|P08-S02-BO-SIDE.REFERENCE.jpg</x:v>
      </x:c>
      <x:c r="M66" s="24" t="str">
        <x:v>P08-S02-I002-S1-10B-F02</x:v>
      </x:c>
      <x:c r="N66" s="25" t="str">
        <x:v>PASS</x:v>
      </x:c>
    </x:row>
    <x:row r="67" ht="78" customHeight="1">
      <x:c r="A67" s="58" t="n">
        <x:v>66</x:v>
      </x:c>
      <x:c r="B67" s="27" t="str">
        <x:v>P08-S02-I002-S1-10B-F03</x:v>
      </x:c>
      <x:c r="C67" s="27" t="str">
        <x:v>STORYBOARD</x:v>
      </x:c>
      <x:c r="D67" s="27" t="str">
        <x:v>I002-S1-10B</x:v>
      </x:c>
      <x:c r="E67" s="27" t="str">
        <x:v>10</x:v>
      </x:c>
      <x:c r="F67" s="27" t="str">
        <x:v>B</x:v>
      </x:c>
      <x:c r="G67" s="27" t="str">
        <x:v>Máy in ý tưởng bằng con lăn và thẻ</x:v>
      </x:c>
      <x:c r="H67" s="27" t="str">
        <x:v>F03</x:v>
      </x:c>
      <x:c r="I67" s="27" t="str">
        <x:v>7-10s</x:v>
      </x:c>
      <x:c r="J67" s="27" t="str">
        <x:v>STANDARD_0-2_2-7_7-9_9-10</x:v>
      </x:c>
      <x:c r="K67" s="27" t="str">
        <x:v>CLOSING_STATE</x:v>
      </x:c>
      <x:c r="L67" s="27" t="str">
        <x:v>P08-S02-MEO-PRIMARY.REFERENCE.png|P08-S02-MEO-SECONDARY.REFERENCE.png|P08-S02-BO-FRONT.REFERENCE.jpg|P08-S02-BO-SIDE.REFERENCE.jpg</x:v>
      </x:c>
      <x:c r="M67" s="27" t="str">
        <x:v>P08-S02-I002-S1-10B-F03</x:v>
      </x:c>
      <x:c r="N67" s="28" t="str">
        <x:v>PASS</x:v>
      </x:c>
    </x:row>
  </x:sheetData>
  <x:pageMargins left="0.7" right="0.7" top="0.75" bottom="0.75" header="0.3" footer="0.3"/>
  <x:tableParts count="1">
    <x:tablePart xmlns:r="http://schemas.openxmlformats.org/officeDocument/2006/relationships" r:id="R41c0758038664c68"/>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0" hidden="0" customWidth="1"/>
    <x:col min="2" max="2" width="18" hidden="0" customWidth="1"/>
    <x:col min="3" max="3" width="18" hidden="0" customWidth="1"/>
    <x:col min="4" max="4" width="18" hidden="0" customWidth="1"/>
    <x:col min="5" max="5" width="18" hidden="0" customWidth="1"/>
    <x:col min="6" max="6" width="40" hidden="0" customWidth="1"/>
    <x:col min="7" max="7" width="112" hidden="0" customWidth="1"/>
    <x:col min="8" max="8" width="18" hidden="0" customWidth="1"/>
    <x:col min="9" max="9" width="18" hidden="0" customWidth="1"/>
    <x:col min="10" max="10" width="40" hidden="0" customWidth="1"/>
    <x:col min="11" max="11" width="40" hidden="0" customWidth="1"/>
    <x:col min="12" max="12" width="40" hidden="0" customWidth="1"/>
    <x:col min="13" max="13" width="40" hidden="0" customWidth="1"/>
    <x:col min="14" max="14" width="40" hidden="0" customWidth="1"/>
    <x:col min="15" max="15" width="40" hidden="0" customWidth="1"/>
    <x:col min="16" max="16" width="40" hidden="0" customWidth="1"/>
    <x:col min="17" max="17" width="40"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s>
  <x:sheetData>
    <x:row r="1">
      <x:c r="A1" s="60" t="str">
        <x:v>Video ID</x:v>
      </x:c>
      <x:c r="B1" s="61" t="str">
        <x:v>Idea ID</x:v>
      </x:c>
      <x:c r="C1" s="61" t="str">
        <x:v>Season</x:v>
      </x:c>
      <x:c r="D1" s="61" t="str">
        <x:v>Story #</x:v>
      </x:c>
      <x:c r="E1" s="61" t="str">
        <x:v>Phần</x:v>
      </x:c>
      <x:c r="F1" s="61" t="str">
        <x:v>Tiêu đề story</x:v>
      </x:c>
      <x:c r="G1" s="61" t="str">
        <x:v>Prompt 10s — Copy vào Google Flow (GIỮ TIẾNG ANH)</x:v>
      </x:c>
      <x:c r="H1" s="61" t="str">
        <x:v>Mục tiêu phát triển</x:v>
      </x:c>
      <x:c r="I1" s="61" t="str">
        <x:v>Mục tiêu cảm xúc</x:v>
      </x:c>
      <x:c r="J1" s="61" t="str">
        <x:v>Bối cảnh</x:v>
      </x:c>
      <x:c r="K1" s="61" t="str">
        <x:v>Trạng thái mở đầu</x:v>
      </x:c>
      <x:c r="L1" s="61" t="str">
        <x:v>Sự kiện chính</x:v>
      </x:c>
      <x:c r="M1" s="61" t="str">
        <x:v>Hành động của Meo</x:v>
      </x:c>
      <x:c r="N1" s="61" t="str">
        <x:v>Hành động của Bố</x:v>
      </x:c>
      <x:c r="O1" s="61" t="str">
        <x:v>Trạng thái kết thúc</x:v>
      </x:c>
      <x:c r="P1" s="61" t="str">
        <x:v>Camera</x:v>
      </x:c>
      <x:c r="Q1" s="61" t="str">
        <x:v>Vật lý / Cơ chế</x:v>
      </x:c>
      <x:c r="R1" s="61" t="str">
        <x:v>Lời thoại</x:v>
      </x:c>
      <x:c r="S1" s="61" t="str">
        <x:v>Âm thanh</x:v>
      </x:c>
      <x:c r="T1" s="61" t="str">
        <x:v>Audit story</x:v>
      </x:c>
      <x:c r="U1" s="61" t="str">
        <x:v>Audit prompt</x:v>
      </x:c>
      <x:c r="V1" s="61" t="str">
        <x:v>Ghi chú QC</x:v>
      </x:c>
      <x:c r="W1" s="62" t="str">
        <x:v>Trạng thái</x:v>
      </x:c>
    </x:row>
    <x:row r="2" ht="340" customHeight="1">
      <x:c r="A2" s="57" t="str">
        <x:v>I002-S1-01A</x:v>
      </x:c>
      <x:c r="B2" s="24" t="str">
        <x:v>I-002</x:v>
      </x:c>
      <x:c r="C2" s="24" t="str">
        <x:v>Season 1</x:v>
      </x:c>
      <x:c r="D2" s="24" t="str">
        <x:v>1</x:v>
      </x:c>
      <x:c r="E2" s="24" t="str">
        <x:v>A</x:v>
      </x:c>
      <x:c r="F2" s="24" t="str">
        <x:v>Chuông mưa cốc và thìa</x:v>
      </x:c>
      <x:c r="G2"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three-quarter shot beside the Magic Invention Box on a stable craft table. No cuts.
Setting: a warm whimsical workshop with rounded wooden tools and soft glowing drawers. A paper cup and wooden spoon sit beside the open invention box.
0–2s: Meo places the cup and spoon into two padded slots. Bố closes the soft lid using both handles. The box gives one gentle golden pulse.
2–7s: Bố opens the lid. The two objects have become one Rain Bell: the paper cup is the bell body and the spoon hangs from an enclosed pivot as a pendulum. Bố tilts the padded frame left; the spoon swings but misses the cup. He tilts right; the spoon touches the cup once. Meo compares both arcs and watches where the spoon passes closest to the cup side.
7–9s: Meo points to the middle angle mark where the spoon path crosses the cup. Bố returns the frame toward that mark and holds it.
9–10s: the spoon hangs just short of the cup, ready to test the centered angle. End unresolved.
Physics: frame angle changes the pendulum path; the correct angle brings the spoon swing through the cup strike point.
Audio: soft lid thump, magical chime, gentle spoon tap, workshop ambience. No dialogue.
Constraints: preserve identity, age and clothing; lightweight paper-and-wood toy invention only; enclosed pivot; no sharp edges, glass, hot parts, climbing, pinching, falls, extra characters, dangerous motion, cuts or text.</x:v>
      </x:c>
      <x:c r="H2" s="24" t="str">
        <x:v>Cung con lắc + căn điểm va chạm</x:v>
      </x:c>
      <x:c r="I2" s="24" t="str">
        <x:v>Tò mò chuyển thành thử nghiệm phát minh có tập trung</x:v>
      </x:c>
      <x:c r="J2" s="24" t="str">
        <x:v>Xưởng sáng tạo ấm áp bên Magic Invention Box</x:v>
      </x:c>
      <x:c r="K2" s="24" t="str">
        <x:v>Cốc giấy và thìa gỗ cạnh hộp phát minh mở; Bố ở tay nắm nắp; Meo ở các khe đệm</x:v>
      </x:c>
      <x:c r="L2" s="24" t="str">
        <x:v>Hai vật biến thành Rain Bell; thay đổi góc khung quyết định con lắc thìa có chạm đúng cốc hay không</x:v>
      </x:c>
      <x:c r="M2" s="24" t="str">
        <x:v>Đặt hai vật, so sánh các cung vung và xác định góc giữa nơi đường đi của thìa cắt qua cốc</x:v>
      </x:c>
      <x:c r="N2" s="24" t="str">
        <x:v>Đóng/mở hộp phát minh, rồi nghiêng và giữ khung Rain Bell ở các góc có kiểm soát</x:v>
      </x:c>
      <x:c r="O2" s="24" t="str">
        <x:v>Rain Bell đã hình thành; thìa treo ngay trước cốc ở góc gần tâm; chưa giải quyết</x:v>
      </x:c>
      <x:c r="P2" s="24" t="str">
        <x:v>Medium-wide three-quarter trong xưởng; không cắt cảnh</x:v>
      </x:c>
      <x:c r="Q2" s="24" t="str">
        <x:v>Góc khung làm đổi đường đi con lắc; căn đúng sẽ đưa thìa đi qua điểm va chạm trên cốc</x:v>
      </x:c>
      <x:c r="R2" s="24" t="str">
        <x:v>Không thoại</x:v>
      </x:c>
      <x:c r="S2" s="24" t="str">
        <x:v>Tiếng nắp chạm nhẹ; chuông phép thuật; thìa gõ khẽ; ambience xưởng</x:v>
      </x:c>
      <x:c r="T2" s="24" t="str">
        <x:v>PASS — G-010/G-011/G-012/G-020/G-034/G-036/G-120; canonical two-object→one-invention signature is central, Bố indispensable, pendulum clue visibly causal, child-safe, unresolved Part A.</x:v>
      </x:c>
      <x:c r="U2" s="24" t="str">
        <x:v>PASS — G-002/G-003/G-030/G-031/G-037/G-040/G-050/G-051/G-060/G-070/G-090/G-150/G-160/G-161/G-162/G-163/G-164; 301 words; zero at-sign characters.</x:v>
      </x:c>
      <x:c r="V2" s="24" t="str">
        <x:v>AI text audit only; visual/render audit not yet performed. USER APPROVAL pending.</x:v>
      </x:c>
      <x:c r="W2" s="25" t="str">
        <x:v>AI AUDITED</x:v>
      </x:c>
    </x:row>
    <x:row r="3" ht="340" customHeight="1">
      <x:c r="A3" s="57" t="str">
        <x:v>I002-S1-01B</x:v>
      </x:c>
      <x:c r="B3" s="24" t="str">
        <x:v>I-002</x:v>
      </x:c>
      <x:c r="C3" s="24" t="str">
        <x:v>Season 1</x:v>
      </x:c>
      <x:c r="D3" s="24" t="str">
        <x:v>1</x:v>
      </x:c>
      <x:c r="E3" s="24" t="str">
        <x:v>B</x:v>
      </x:c>
      <x:c r="F3" s="24" t="str">
        <x:v>Chuông mưa cốc và thìa</x:v>
      </x:c>
      <x:c r="G3"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workshop angle, keeping the Rain Bell, center mark and hanging spoon visible. No cuts.
Setting and opening state: the paper-cup Rain Bell rests on the craft table. The wooden spoon hangs from its enclosed pivot just short of the cup. Bố holds the padded frame near the middle angle mark. Meo stands beside the marks.
0–2s: Meo points to the middle mark and traces the spoon’s expected arc toward the cup side. Bố holds the frame steady.
2–7s: Bố adjusts the frame onto the middle mark, then gives the padded base one gentle side-to-side motion. The spoon swings smoothly and taps the paper cup once, then again on the return. Meo watches both strikes land at nearly the same point and signals him to keep the angle.
7–9s: Bố seats the frame into a soft center notch. The spoon continues one smaller swing and gives a final quiet tap.
9–10s: painted raindrop symbols glow on the cup. Meo says in Vietnamese, with a warm five-year-old voice and clear, delighted delivery: “Bố ơi, chuông mưa kêu rồi!” Keep the exact wording; do not translate it.
Physics: centering the frame aligns the pendulum arc with the cup strike point, so each swing reaches the bell body consistently.
Audio: soft spoon taps, paper resonance, notch click, magical chime, short dialogue.
Constraints: exact A-to-B continuity; preserve identity, age and clothing; lightweight paper-and-wood toy invention only; enclosed pivot; stable table; no sharp edges, glass, hot parts, climbing, pinching, falls, extra characters, dangerous motion, cuts or text.</x:v>
      </x:c>
      <x:c r="H3" s="24" t="str">
        <x:v>Cung con lắc + căn điểm va chạm</x:v>
      </x:c>
      <x:c r="I3" s="24" t="str">
        <x:v>Vui khi làm phát minh đầu tiên hoạt động</x:v>
      </x:c>
      <x:c r="J3" s="24" t="str">
        <x:v>Cùng xưởng và Rain Bell hoàn chỉnh cạnh Magic Invention Box</x:v>
      </x:c>
      <x:c r="K3" s="24" t="str">
        <x:v>Rain Bell đã hình thành; thìa còn thiếu cốc một chút; Bố giữ khung gần dấu giữa; Meo cạnh các dấu góc</x:v>
      </x:c>
      <x:c r="L3" s="24" t="str">
        <x:v>Meo hướng dẫn góc khung chính xác, Bố căn giữa và lắc nhẹ để thìa gõ cốc đều đặn</x:v>
      </x:c>
      <x:c r="M3" s="24" t="str">
        <x:v>Lần theo cung dự kiến, ra hiệu dấu giữa và kiểm tra các lần gõ lặp lại đúng cùng điểm</x:v>
      </x:c>
      <x:c r="N3" s="24" t="str">
        <x:v>Căn khung vào giữa, lắc đế đệm và khóa vào rãnh mềm ở tâm</x:v>
      </x:c>
      <x:c r="O3" s="24" t="str">
        <x:v>Rain Bell kêu đều; biểu tượng giọt mưa phát sáng; kết thúc tích cực</x:v>
      </x:c>
      <x:c r="P3" s="24" t="str">
        <x:v>Cùng góc medium-wide để giữ continuity; không cắt cảnh</x:v>
      </x:c>
      <x:c r="Q3" s="24" t="str">
        <x:v>Căn khung vào tâm làm cung con lắc trùng điểm va chạm trên cốc, nên mỗi nhịp đều chạm thân chuông</x:v>
      </x:c>
      <x:c r="R3" s="24" t="str">
        <x:v>Meo: “Bố ơi, chuông mưa kêu rồi!”</x:v>
      </x:c>
      <x:c r="S3" s="24" t="str">
        <x:v>Thìa gõ nhẹ; cộng hưởng giấy; tiếng khóa rãnh; chuông phép thuật; thoại ngắn</x:v>
      </x:c>
      <x:c r="T3" s="24" t="str">
        <x:v>PASS — G-010/G-011/G-012/G-020/G-034/G-036/G-120; exact A→B handoff, Bố indispensable, Meo applies the observed pendulum clue and the first invention works cooperatively.</x:v>
      </x:c>
      <x:c r="U3" s="24" t="str">
        <x:v>PASS — G-002/G-003/G-030/G-031/G-037/G-040/G-050/G-051/G-060/G-070/G-080/G-081/G-090/G-150/G-160/G-161/G-162/G-163/G-164; 312 words; zero at-sign characters.</x:v>
      </x:c>
      <x:c r="V3" s="24" t="str">
        <x:v>AI text audit only; visual/render audit not yet performed. USER APPROVAL pending.</x:v>
      </x:c>
      <x:c r="W3" s="25" t="str">
        <x:v>AI AUDITED</x:v>
      </x:c>
    </x:row>
    <x:row r="4" ht="340" customHeight="1">
      <x:c r="A4" s="57" t="str">
        <x:v>I002-S1-02A</x:v>
      </x:c>
      <x:c r="B4" s="24" t="str">
        <x:v>I-002</x:v>
      </x:c>
      <x:c r="C4" s="24" t="str">
        <x:v>Season 1</x:v>
      </x:c>
      <x:c r="D4" s="24" t="str">
        <x:v>2</x:v>
      </x:c>
      <x:c r="E4" s="24" t="str">
        <x:v>A</x:v>
      </x:c>
      <x:c r="F4" s="24" t="str">
        <x:v>Máy chiếu ống và ngôi sao</x:v>
      </x:c>
      <x:c r="G4"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side three-quarter shot beside the Magic Invention Box and a matte projection board. No cuts.
Setting: the same warm workshop. A short cardboard tube and a soft star-shaped craft cutter lie beside the invention box. The cutter has broad rounded edges.
0–2s: Meo places the tube and star cutter into two padded slots. Bố closes the soft lid with both handles. One blue-gold pulse shines around the seams.
2–7s: Bố opens the box. The two objects have become one Star Projector: the cardboard tube sits in a padded rotating collar, and the star piece forms a covered front aperture. An enclosed cool magical light glows inside. Bố rotates the collar left; a blurred patch appears on the matte board. He rotates right; the patch narrows but stays uneven. Meo notices that an alignment dot on the tube is not centered with the star-aperture mark.
7–9s: Meo points from the offset dot to the matching center mark. Bố rotates the padded collar toward alignment and holds it just before the marks meet.
9–10s: the projected patch is almost star-shaped but one point remains blurred. End unresolved.
Physics: the internal light forms a clear shape only when the tube axis and star aperture align; misalignment clips part of the light path.
Audio: soft lid thump, magical pulse, collar clicks, workshop ambience. No dialogue.
Constraints: preserve identity, age and clothing; enclosed cool light only; rounded craft component; no exposed bulb, sharp edge, heat, climbing, pinching, falls, extra characters, dangerous motion, cuts or text.</x:v>
      </x:c>
      <x:c r="H4" s="24" t="str">
        <x:v>Căn khẩu độ + suy luận đường truyền ánh sáng</x:v>
      </x:c>
      <x:c r="I4" s="24" t="str">
        <x:v>Ngạc nhiên chuyển thành điều chỉnh hình ảnh chính xác</x:v>
      </x:c>
      <x:c r="J4" s="24" t="str">
        <x:v>Cùng xưởng sáng tạo với bảng chiếu mờ bên Magic Invention Box</x:v>
      </x:c>
      <x:c r="K4" s="24" t="str">
        <x:v>Ống bìa và dụng cụ cắt thủ công hình sao bo tròn cạnh hộp mở; Bố ở tay nắm nắp; Meo ở khe đệm</x:v>
      </x:c>
      <x:c r="L4" s="24" t="str">
        <x:v>Hai vật biến thành Star Projector; trục ống lệch làm cắt mất một phần đường sáng hình sao</x:v>
      </x:c>
      <x:c r="M4" s="24" t="str">
        <x:v>Đặt hai vật, so sánh hình chiếu mờ và xác định chấm căn chỉnh bị lệch</x:v>
      </x:c>
      <x:c r="N4" s="24" t="str">
        <x:v>Đóng/mở hộp phát minh, rồi xoay và giữ vòng cổ máy chiếu có đệm</x:v>
      </x:c>
      <x:c r="O4" s="24" t="str">
        <x:v>Projector đã hình thành; các dấu gần trùng; ngôi sao chiếu vẫn mờ một đỉnh; chưa giải quyết</x:v>
      </x:c>
      <x:c r="P4" s="24" t="str">
        <x:v>Medium-wide side three-quarter trong xưởng; không cắt cảnh</x:v>
      </x:c>
      <x:c r="Q4" s="24" t="str">
        <x:v>Lệch trục làm cắt một phần đường sáng bên trong; căn tâm trục ống sau khẩu độ sẽ khôi phục đủ hình chiếu</x:v>
      </x:c>
      <x:c r="R4" s="24" t="str">
        <x:v>Không thoại</x:v>
      </x:c>
      <x:c r="S4" s="24" t="str">
        <x:v>Tiếng nắp chạm nhẹ; xung phép thuật; vòng cổ click; ambience xưởng</x:v>
      </x:c>
      <x:c r="T4" s="24" t="str">
        <x:v>PASS — G-010/G-011/G-012/G-020/G-034/G-036/G-120; canonical two-object→one-invention signature is central, Bố indispensable, aperture-alignment clue visibly causal, child-safe, unresolved Part A.</x:v>
      </x:c>
      <x:c r="U4" s="24" t="str">
        <x:v>PASS — G-002/G-003/G-030/G-031/G-037/G-040/G-050/G-051/G-060/G-070/G-090/G-150/G-160/G-161/G-162/G-163/G-164; 315 words; zero at-sign characters.</x:v>
      </x:c>
      <x:c r="V4" s="24" t="str">
        <x:v>AI text audit only; visual/render audit not yet performed. USER APPROVAL pending.</x:v>
      </x:c>
      <x:c r="W4" s="25" t="str">
        <x:v>AI AUDITED</x:v>
      </x:c>
    </x:row>
    <x:row r="5" ht="340" customHeight="1">
      <x:c r="A5" s="57" t="str">
        <x:v>I002-S1-02B</x:v>
      </x:c>
      <x:c r="B5" s="24" t="str">
        <x:v>I-002</x:v>
      </x:c>
      <x:c r="C5" s="24" t="str">
        <x:v>Season 1</x:v>
      </x:c>
      <x:c r="D5" s="24" t="str">
        <x:v>2</x:v>
      </x:c>
      <x:c r="E5" s="24" t="str">
        <x:v>B</x:v>
      </x:c>
      <x:c r="F5" s="24" t="str">
        <x:v>Máy chiếu ống và ngôi sao</x:v>
      </x:c>
      <x:c r="G5"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workshop side, keeping the Star Projector, alignment marks and matte board visible. No cuts.
Setting and opening state: the cardboard-tube Star Projector rests in its padded collar. The alignment dot sits just beside the matching aperture mark. A nearly star-shaped light patch appears on the board with one point blurred. Bố holds the rotation handle. Meo stands beside the marks.
0–2s: Meo points to the offset dot, then to the matching center mark and signals a small final rotation.
2–7s: Bố rotates the padded collar slowly until both marks line up. As the tube axis centers behind the star aperture, the blurred edge sharpens. Meo watches all five points appear evenly and signals stop. Bố keeps the projector aimed at the same board.
7–9s: Bố seats the collar into a soft alignment notch. The star remains crisp and steady while Meo checks the matching marks.
9–10s: tiny enclosed sparkles shimmer inside the projected star. Meo says in Vietnamese, with a warm five-year-old voice and clear, delighted delivery: “Bố ơi, ngôi sao rõ rồi!” Keep the exact wording; do not translate it.
Physics: aligning the tube axis with the star aperture removes clipping from the light path, allowing the full aperture shape to project clearly.
Audio: soft collar clicks, notch tap, magical shimmer, workshop ambience, short dialogue.
Constraints: exact A-to-B continuity; preserve identity, age and clothing; enclosed cool magical light only; rounded craft component; stable table and board; no exposed bulb, sharp edge, heat, climbing, pinching, falls, extra characters, dangerous motion, cuts or text.</x:v>
      </x:c>
      <x:c r="H5" s="24" t="str">
        <x:v>Căn khẩu độ + suy luận đường truyền ánh sáng</x:v>
      </x:c>
      <x:c r="I5" s="24" t="str">
        <x:v>Tự hào khi cùng tạo hình chiếu phép thuật rõ nét</x:v>
      </x:c>
      <x:c r="J5" s="24" t="str">
        <x:v>Cùng xưởng và Star Projector hướng vào bảng mờ</x:v>
      </x:c>
      <x:c r="K5" s="24" t="str">
        <x:v>Projector đã hình thành; dấu gần trùng; một đỉnh sao còn mờ; Bố ở tay xoay; Meo cạnh dấu căn</x:v>
      </x:c>
      <x:c r="L5" s="24" t="str">
        <x:v>Meo hướng dẫn vòng xoay cuối, Bố căn và khóa trục ống để toàn bộ ngôi sao sắc nét</x:v>
      </x:c>
      <x:c r="M5" s="24" t="str">
        <x:v>Theo dõi các dấu, ra hiệu đúng điểm dừng và kiểm tra đủ năm đỉnh sao</x:v>
      </x:c>
      <x:c r="N5" s="24" t="str">
        <x:v>Xoay vòng cổ đệm và khóa vào rãnh căn chỉnh mềm</x:v>
      </x:c>
      <x:c r="O5" s="24" t="str">
        <x:v>Ngôi sao năm cánh sắc nét được chiếu ổn định; tia sáng kín lấp lánh; kết thúc tích cực</x:v>
      </x:c>
      <x:c r="P5" s="24" t="str">
        <x:v>Cùng góc medium-wide để giữ continuity; không cắt cảnh</x:v>
      </x:c>
      <x:c r="Q5" s="24" t="str">
        <x:v>Căn trục ống với khẩu độ hình sao loại bỏ phần bị cắt và cho phép chiếu đầy đủ hình khẩu độ</x:v>
      </x:c>
      <x:c r="R5" s="24" t="str">
        <x:v>Meo: “Bố ơi, ngôi sao rõ rồi!”</x:v>
      </x:c>
      <x:c r="S5" s="24" t="str">
        <x:v>Vòng cổ click nhẹ; chạm rãnh; ánh phép thuật lấp lánh; ambience xưởng; thoại ngắn</x:v>
      </x:c>
      <x:c r="T5" s="24" t="str">
        <x:v>PASS — G-010/G-011/G-012/G-020/G-034/G-036/G-120; exact A→B handoff, Bố indispensable, Meo applies the aperture-alignment clue and the invention projects clearly.</x:v>
      </x:c>
      <x:c r="U5" s="24" t="str">
        <x:v>PASS — G-002/G-003/G-030/G-031/G-037/G-040/G-050/G-051/G-060/G-070/G-080/G-081/G-090/G-150/G-160/G-161/G-162/G-163/G-164; 314 words; zero at-sign characters.</x:v>
      </x:c>
      <x:c r="V5" s="24" t="str">
        <x:v>AI text audit only; visual/render audit not yet performed. USER APPROVAL pending.</x:v>
      </x:c>
      <x:c r="W5" s="25" t="str">
        <x:v>AI AUDITED</x:v>
      </x:c>
    </x:row>
    <x:row r="6" ht="340" customHeight="1">
      <x:c r="A6" s="57" t="str">
        <x:v>I002-S1-03A</x:v>
      </x:c>
      <x:c r="B6" s="24" t="str">
        <x:v>I-002</x:v>
      </x:c>
      <x:c r="C6" s="24" t="str">
        <x:v>Season 1</x:v>
      </x:c>
      <x:c r="D6" s="24" t="str">
        <x:v>3</x:v>
      </x:c>
      <x:c r="E6" s="24" t="str">
        <x:v>A</x:v>
      </x:c>
      <x:c r="F6" s="24" t="str">
        <x:v>Bộ tìm gió quạt và ruy băng</x:v>
      </x:c>
      <x:c r="G6"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three-quarter workshop shot beside the Magic Invention Box and a low airflow test stand. No cuts.
Setting: the warm whimsical workshop. A folding paper fan and a satin ribbon lie beside the open invention box.
0–2s: Meo places the fan and ribbon into two padded slots. Bố closes the soft lid with both handles. The box gives one gentle turquoise pulse.
2–7s: Bố opens the lid. The two objects have become one Wind Finder: the paper fan sits inside a padded rotating housing while the ribbon forms a flexible vane passing through a guide ring. Bố turns the padded handle; the enclosed fan moves slowly. The ribbon leans strongly left. He rotates the housing a small amount; the ribbon becomes less sideways and points more through the ring. Meo compares both vane directions against the center marker.
7–9s: Meo points from the leaning ribbon to the center of the guide ring and traces the rotation direction that would bring the vane straight through it. Bố rotates toward that mark and holds just before alignment.
9–10s: the ribbon still leans slightly off center. End unresolved.
Physics: moving air pushes the flexible ribbon in the airflow direction; rotating the fan housing changes the airflow direction relative to the fixed guide ring.
Audio: soft lid thump, magical pulse, quiet fan rustle, ribbon flutter, workshop ambience. No dialogue.
Constraints: preserve identity, age and clothing; enclosed slow fan only; lightweight paper and fabric components; stable table; no exposed blades, loose cords near bodies, climbing, pinching, falls, extra characters, dangerous motion, cuts or text.</x:v>
      </x:c>
      <x:c r="H6" s="24" t="str">
        <x:v>Hướng luồng khí + độ lệch của dải mềm</x:v>
      </x:c>
      <x:c r="I6" s="24" t="str">
        <x:v>Tò mò chuyển thành quan sát hướng đầy tự tin</x:v>
      </x:c>
      <x:c r="J6" s="24" t="str">
        <x:v>Xưởng ấm áp bên Magic Invention Box và giá test luồng khí</x:v>
      </x:c>
      <x:c r="K6" s="24" t="str">
        <x:v>Quạt giấy gấp và ruy băng satin cạnh hộp mở; Bố ở tay nắm nắp; Meo ở khe đệm</x:v>
      </x:c>
      <x:c r="L6" s="24" t="str">
        <x:v>Hai vật biến thành Wind Finder; xoay vỏ quạt kín làm đổi hướng dải ruy băng qua vòng dẫn cố định</x:v>
      </x:c>
      <x:c r="M6" s="24" t="str">
        <x:v>Đặt hai vật, so sánh hai hướng dải và xác định chiều xoay về tâm vòng</x:v>
      </x:c>
      <x:c r="N6" s="24" t="str">
        <x:v>Đóng/mở hộp, chạy quạt kín và xoay vỏ đệm qua các góc có kiểm soát</x:v>
      </x:c>
      <x:c r="O6" s="24" t="str">
        <x:v>Wind Finder đã hình thành; dải ruy băng vẫn lệch tâm nhẹ; chưa giải quyết</x:v>
      </x:c>
      <x:c r="P6" s="24" t="str">
        <x:v>Medium-wide three-quarter trong xưởng; không cắt cảnh</x:v>
      </x:c>
      <x:c r="Q6" s="24" t="str">
        <x:v>Luồng khí đẩy dải mềm theo hướng chuyển động; xoay vỏ làm đổi hướng gió so với vòng dẫn cố định</x:v>
      </x:c>
      <x:c r="R6" s="24" t="str">
        <x:v>Không thoại</x:v>
      </x:c>
      <x:c r="S6" s="24" t="str">
        <x:v>Tiếng nắp nhẹ; xung phép thuật; quạt xào xạc; ruy băng phấp phới; ambience xưởng</x:v>
      </x:c>
      <x:c r="T6" s="24" t="str">
        <x:v>PASS — G-010/G-011/G-012/G-020/G-034/G-036/G-120; canonical two-object→one-invention signature central, Bố indispensable, mechanism clue visibly causal, child-safe, unresolved Part A.</x:v>
      </x:c>
      <x:c r="U6" s="24" t="str">
        <x:v>PASS — G-002/G-003/G-030/G-031/G-037/G-040/G-050/G-051/G-060/G-070/G-090/G-150/G-160/G-161/G-162/G-163/G-164; 318 words; zero at-sign characters.</x:v>
      </x:c>
      <x:c r="V6" s="24" t="str">
        <x:v>AI text audit only; visual/render audit not yet performed. USER APPROVAL pending.</x:v>
      </x:c>
      <x:c r="W6" s="25" t="str">
        <x:v>AI AUDITED</x:v>
      </x:c>
    </x:row>
    <x:row r="7" ht="340" customHeight="1">
      <x:c r="A7" s="57" t="str">
        <x:v>I002-S1-03B</x:v>
      </x:c>
      <x:c r="B7" s="24" t="str">
        <x:v>I-002</x:v>
      </x:c>
      <x:c r="C7" s="24" t="str">
        <x:v>Season 1</x:v>
      </x:c>
      <x:c r="D7" s="24" t="str">
        <x:v>3</x:v>
      </x:c>
      <x:c r="E7" s="24" t="str">
        <x:v>B</x:v>
      </x:c>
      <x:c r="F7" s="24" t="str">
        <x:v>Bộ tìm gió quạt và ruy băng</x:v>
      </x:c>
      <x:c r="G7"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workshop angle, keeping the Wind Finder, guide ring and ribbon vane visible. No cuts.
Setting and opening state: the Wind Finder rests on the test stand. Its ribbon vane still leans slightly off center. Bố holds the padded rotation handle. Meo stands beside the center marker.
0–2s: Meo points to the ring center and signals one small rotation in the direction indicated by the marker. Bố keeps the fan running at the same slow speed.
2–7s: Bố rotates the padded housing gradually. The ribbon moves from a diagonal lean toward the centerline. Meo watches the tip cross the guide marks and signals him to stop when the vane streams straight through the middle of the ring. Bố holds the housing steady.
7–9s: Bố seats the rotation handle into a soft notch. The ribbon stays centered and flutters evenly without touching the ring.
9–10s: a tiny compass-like star on the base glows. Meo says in Vietnamese, with a warm five-year-old voice and clear, delighted delivery: “Bố ơi, gió đi thẳng rồi!” Keep the exact wording; do not translate it.
Physics: airflow deflects the flexible vane in its travel direction; centering the fan housing with the ring makes the vane stream straight through the guide.
Audio: quiet fan rustle, soft ribbon flutter, notch click, magical chime, short dialogue.
Constraints: exact A-to-B continuity; preserve identity, age and clothing; enclosed slow fan only; lightweight paper and fabric components; stable table; no exposed blades, loose cords near bodies, climbing, pinching, falls, extra characters, dangerous motion, cuts or text.</x:v>
      </x:c>
      <x:c r="H7" s="24" t="str">
        <x:v>Hướng luồng khí + độ lệch của dải mềm</x:v>
      </x:c>
      <x:c r="I7" s="24" t="str">
        <x:v>Tự hào khi làm phát minh mới chỉ hướng rõ ràng</x:v>
      </x:c>
      <x:c r="J7" s="24" t="str">
        <x:v>Xưởng ấm áp bên Magic Invention Box và giá test luồng khí</x:v>
      </x:c>
      <x:c r="K7" s="24" t="str">
        <x:v>Wind Finder đã hình thành; ruy băng hơi lệch tâm; Bố ở tay xoay; Meo cạnh dấu tâm vòng dẫn</x:v>
      </x:c>
      <x:c r="L7" s="24" t="str">
        <x:v>Meo hướng dẫn lần xoay cuối, Bố căn tâm và khóa luồng khí để ruy băng bay thẳng qua vòng</x:v>
      </x:c>
      <x:c r="M7" s="24" t="str">
        <x:v>Theo dõi đầu dải, ra hiệu điểm dừng chính xác và kiểm tra luồng khí đã vào tâm</x:v>
      </x:c>
      <x:c r="N7" s="24" t="str">
        <x:v>Xoay vỏ đệm, giữ tốc độ quạt ổn định và khóa tay nắm vào rãnh giữa</x:v>
      </x:c>
      <x:c r="O7" s="24" t="str">
        <x:v>Ruy băng bay đều qua tâm vòng dẫn; ngôi sao ở đế phát sáng; kết thúc tích cực</x:v>
      </x:c>
      <x:c r="P7" s="24" t="str">
        <x:v>Cùng góc medium-wide để giữ continuity; không cắt cảnh</x:v>
      </x:c>
      <x:c r="Q7" s="24" t="str">
        <x:v>Căn vỏ quạt với vòng dẫn khiến dải chỉ hướng luồng khí bay thẳng qua tâm</x:v>
      </x:c>
      <x:c r="R7" s="24" t="str">
        <x:v>Meo: “Bố ơi, gió đi thẳng rồi!”</x:v>
      </x:c>
      <x:c r="S7" s="24" t="str">
        <x:v>Quạt xào xạc nhẹ; ruy băng phấp phới; tiếng khóa rãnh; chuông phép thuật; thoại ngắn</x:v>
      </x:c>
      <x:c r="T7" s="24" t="str">
        <x:v>PASS — G-010/G-011/G-012/G-020/G-034/G-036/G-120; exact A→B handoff, Bố indispensable, Meo applies the observed mechanism clue and the invention resolves safely.</x:v>
      </x:c>
      <x:c r="U7" s="24" t="str">
        <x:v>PASS — G-002/G-003/G-030/G-031/G-037/G-040/G-050/G-051/G-060/G-070/G-080/G-081/G-090/G-150/G-160/G-161/G-162/G-163/G-164; 309 words; zero at-sign characters.</x:v>
      </x:c>
      <x:c r="V7" s="24" t="str">
        <x:v>AI text audit only; visual/render audit not yet performed. USER APPROVAL pending.</x:v>
      </x:c>
      <x:c r="W7" s="25" t="str">
        <x:v>AI AUDITED</x:v>
      </x:c>
    </x:row>
    <x:row r="8" ht="340" customHeight="1">
      <x:c r="A8" s="57" t="str">
        <x:v>I002-S1-04A</x:v>
      </x:c>
      <x:c r="B8" s="24" t="str">
        <x:v>I-002</x:v>
      </x:c>
      <x:c r="C8" s="24" t="str">
        <x:v>Season 1</x:v>
      </x:c>
      <x:c r="D8" s="24" t="str">
        <x:v>4</x:v>
      </x:c>
      <x:c r="E8" s="24" t="str">
        <x:v>A</x:v>
      </x:c>
      <x:c r="F8" s="24" t="str">
        <x:v>Máy thổi mây bằng sponge và ống</x:v>
      </x:c>
      <x:c r="G8"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side workshop shot beside the Magic Invention Box and a soft cloud target board. No cuts.
Setting: the same warm workshop. A dry foam sponge and a wide cardboard tube lie beside the open invention box.
0–2s: Meo places the sponge and tube into two padded slots. Bố closes the soft lid with both handles. A pale silver pulse travels around the box.
2–7s: Bố opens the lid. The objects have become one Cloud Puffer: the sponge forms a soft bellows chamber behind the tube, with an enclosed air path. Bố presses the padded sponge chamber halfway and a weak puff makes only the nearest paper cloud marker tremble. He releases only partway, presses again, and the second puff is weaker. Then he lets the sponge expand fully to the widest marks. Meo compares the partial-reset and full-reset gaps.
7–9s: Meo points to the widest chamber marks and signals that the sponge must return fully before the next press. Bố holds it fully expanded.
9–10s: the Cloud Puffer is ready but has not made the strong puff yet. End unresolved.
Physics: compressing the bellows pushes air through the tube; allowing the sponge chamber to recover its full volume before each press provides more air for the next pulse.
Audio: soft lid thump, magical pulse, gentle foam squeeze, quiet air puffs, workshop ambience. No dialogue.
Constraints: preserve identity, age and clothing; dry soft foam only; enclosed air path; wide tube; no mouth blowing, loose powder, liquid, projectiles, heat, sharp parts, climbing, pinching, falls, extra characters, dangerous motion, cuts or text.</x:v>
      </x:c>
      <x:c r="H8" s="24" t="str">
        <x:v>Nén ống bễ + phục hồi đủ thể tích</x:v>
      </x:c>
      <x:c r="I8" s="24" t="str">
        <x:v>Bất ngờ chuyển thành tư duy reset và thử nghiệm cẩn thận</x:v>
      </x:c>
      <x:c r="J8" s="24" t="str">
        <x:v>Cùng xưởng bên Magic Invention Box và mục tiêu đám mây mềm</x:v>
      </x:c>
      <x:c r="K8" s="24" t="str">
        <x:v>Miếng foam khô và ống bìa rộng cạnh hộp mở; Bố ở tay nắm nắp; Meo ở khe</x:v>
      </x:c>
      <x:c r="L8" s="24" t="str">
        <x:v>Hai vật biến thành Cloud Puffer; ống bễ hồi chưa đủ tạo xung khí yếu, còn hồi đầy phục hồi thể tích lớn hơn</x:v>
      </x:c>
      <x:c r="M8" s="24" t="str">
        <x:v>Đặt hai vật, so sánh khoảng hồi một phần/toàn phần và xác định dấu hồi rộng nhất</x:v>
      </x:c>
      <x:c r="N8" s="24" t="str">
        <x:v>Đóng/mở hộp, ấn và nhả ống bễ foam đệm ở các độ sâu có kiểm soát</x:v>
      </x:c>
      <x:c r="O8" s="24" t="str">
        <x:v>Cloud Puffer đã hình thành; ống bễ nở đầy và sẵn sàng; chưa test xung mạnh; chưa giải quyết</x:v>
      </x:c>
      <x:c r="P8" s="24" t="str">
        <x:v>Medium-wide ngang trong xưởng; không cắt cảnh</x:v>
      </x:c>
      <x:c r="Q8" s="24" t="str">
        <x:v>Nén ống bễ đẩy khí qua ống; buồng hồi đầy sẽ nạp nhiều không khí hơn cho xung tiếp theo</x:v>
      </x:c>
      <x:c r="R8" s="24" t="str">
        <x:v>Không thoại</x:v>
      </x:c>
      <x:c r="S8" s="24" t="str">
        <x:v>Tiếng nắp nhẹ; xung phép thuật; foam bóp; tiếng khí phụt nhẹ; ambience xưởng</x:v>
      </x:c>
      <x:c r="T8" s="24" t="str">
        <x:v>PASS — G-010/G-011/G-012/G-020/G-034/G-036/G-120; canonical two-object→one-invention signature central, Bố indispensable, mechanism clue visibly causal, child-safe, unresolved Part A.</x:v>
      </x:c>
      <x:c r="U8" s="24" t="str">
        <x:v>PASS — G-002/G-003/G-030/G-031/G-037/G-040/G-050/G-051/G-060/G-070/G-090/G-150/G-160/G-161/G-162/G-163/G-164; 319 words; zero at-sign characters.</x:v>
      </x:c>
      <x:c r="V8" s="24" t="str">
        <x:v>AI text audit only; visual/render audit not yet performed. USER APPROVAL pending.</x:v>
      </x:c>
      <x:c r="W8" s="25" t="str">
        <x:v>AI AUDITED</x:v>
      </x:c>
    </x:row>
    <x:row r="9" ht="340" customHeight="1">
      <x:c r="A9" s="57" t="str">
        <x:v>I002-S1-04B</x:v>
      </x:c>
      <x:c r="B9" s="24" t="str">
        <x:v>I-002</x:v>
      </x:c>
      <x:c r="C9" s="24" t="str">
        <x:v>Season 1</x:v>
      </x:c>
      <x:c r="D9" s="24" t="str">
        <x:v>4</x:v>
      </x:c>
      <x:c r="E9" s="24" t="str">
        <x:v>B</x:v>
      </x:c>
      <x:c r="F9" s="24" t="str">
        <x:v>Máy thổi mây bằng sponge và ống</x:v>
      </x:c>
      <x:c r="G9"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side, keeping the Cloud Puffer, sponge chamber and cloud target visible. No cuts.
Setting and opening state: the Cloud Puffer rests on the craft table. Its sponge bellows is fully expanded at the widest marks. Bố holds the padded press plate. Meo stands beside the chamber marks.
0–2s: Meo points to the full-reset marks, then signals one complete press. Bố keeps the tube aimed at the same soft target.
2–7s: Bố presses the sponge chamber slowly through its full safe travel. A smooth airflow pulse passes through the wide tube and lifts three lightweight attached cloud flaps on the target in sequence. He releases completely. Meo watches the chamber return to the widest marks before signaling a second press. Bố repeats; the cloud flaps rise to the same height.
7–9s: Bố lets the chamber expand fully once more and parks the press plate in a soft resting catch. The flaps settle gently.
9–10s: a small painted cloud on the tube glows. Meo says in Vietnamese, with a warm five-year-old voice and clear, delighted delivery: “Bố ơi, mây bay đều rồi!” Keep the exact wording; do not translate it.
Physics: full bellows recovery restores chamber volume; equal full presses displace similar amounts of air and create consistent pulses through the tube.
Audio: soft foam squeeze, gentle air pulse, flap rustle, catch click, magical chime, short dialogue.
Constraints: exact A-to-B continuity; preserve identity, age and clothing; dry soft foam only; enclosed air path; attached target flaps; no mouth blowing, loose powder, liquid, projectiles, heat, sharp parts, climbing, pinching, falls, extra characters, dangerous motion, cuts or text.</x:v>
      </x:c>
      <x:c r="H9" s="24" t="str">
        <x:v>Nén ống bễ + phục hồi đủ thể tích</x:v>
      </x:c>
      <x:c r="I9" s="24" t="str">
        <x:v>Vui khi tạo được các xung khí nhẹ đồng đều</x:v>
      </x:c>
      <x:c r="J9" s="24" t="str">
        <x:v>Cùng xưởng bên Magic Invention Box và mục tiêu đám mây mềm</x:v>
      </x:c>
      <x:c r="K9" s="24" t="str">
        <x:v>Cloud Puffer đã hình thành; ống bễ foam nở đủ tới dấu rộng nhất; Bố ở tấm ấn; Meo cạnh dấu reset</x:v>
      </x:c>
      <x:c r="L9" s="24" t="str">
        <x:v>Meo hướng dẫn hồi đầy trước mỗi lần ấn, Bố tạo hai xung bằng nhau nâng các cánh mây lên cùng độ cao</x:v>
      </x:c>
      <x:c r="M9" s="24" t="str">
        <x:v>Theo dõi dấu hồi buồng, ra hiệu mỗi lần ấn đủ và kiểm tra độ cao cánh bằng nhau</x:v>
      </x:c>
      <x:c r="N9" s="24" t="str">
        <x:v>Thực hiện các lần ấn đủ có kiểm soát, nhả hoàn toàn rồi đặt tấm ấn vào chốt mềm</x:v>
      </x:c>
      <x:c r="O9" s="24" t="str">
        <x:v>Các cánh mây phản ứng đồng đều; biểu tượng mây phát sáng; kết thúc tích cực</x:v>
      </x:c>
      <x:c r="P9" s="24" t="str">
        <x:v>Cùng góc medium-wide để giữ continuity; không cắt cảnh</x:v>
      </x:c>
      <x:c r="Q9" s="24" t="str">
        <x:v>Hồi và nén ống bễ đầy như nhau sẽ đẩy lượng khí tương tự, tạo xung ổn định</x:v>
      </x:c>
      <x:c r="R9" s="24" t="str">
        <x:v>Meo: “Bố ơi, mây bay đều rồi!”</x:v>
      </x:c>
      <x:c r="S9" s="24" t="str">
        <x:v>Foam bóp nhẹ; xung khí; cánh mây xào xạc; tiếng chốt; chuông phép thuật; thoại ngắn</x:v>
      </x:c>
      <x:c r="T9" s="24" t="str">
        <x:v>PASS — G-010/G-011/G-012/G-020/G-034/G-036/G-120; exact A→B handoff, Bố indispensable, Meo applies the observed mechanism clue and the invention resolves safely.</x:v>
      </x:c>
      <x:c r="U9" s="24" t="str">
        <x:v>PASS — G-002/G-003/G-030/G-031/G-037/G-040/G-050/G-051/G-060/G-070/G-080/G-081/G-090/G-150/G-160/G-161/G-162/G-163/G-164; 320 words; zero at-sign characters.</x:v>
      </x:c>
      <x:c r="V9" s="24" t="str">
        <x:v>AI text audit only; visual/render audit not yet performed. USER APPROVAL pending.</x:v>
      </x:c>
      <x:c r="W9" s="25" t="str">
        <x:v>AI AUDITED</x:v>
      </x:c>
    </x:row>
    <x:row r="10" ht="340" customHeight="1">
      <x:c r="A10" s="57" t="str">
        <x:v>I002-S1-05A</x:v>
      </x:c>
      <x:c r="B10" s="24" t="str">
        <x:v>I-002</x:v>
      </x:c>
      <x:c r="C10" s="24" t="str">
        <x:v>Season 1</x:v>
      </x:c>
      <x:c r="D10" s="24" t="str">
        <x:v>5</x:v>
      </x:c>
      <x:c r="E10" s="24" t="str">
        <x:v>A</x:v>
      </x:c>
      <x:c r="F10" s="24" t="str">
        <x:v>Đường thì thầm bằng phễu và len</x:v>
      </x:c>
      <x:c r="G10"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three-quarter workshop shot beside the Magic Invention Box and two padded sound posts. No cuts.
Setting: a paper speaking cone and a thick soft yarn strand lie beside the open invention box.
0–2s: Meo places the cone and yarn into two padded slots. Bố closes the soft lid with both handles. A violet pulse crosses the box.
2–7s: Bố opens the lid. The two objects have become one Whisper Line: the paper cone sits on one padded post while the yarn runs through an enclosed center membrane to a second post with a tension handle. Bố leaves the yarn slack and gently taps the cone rim; the far membrane barely trembles. He turns the tension handle until the yarn straightens, taps again, and the far membrane visibly quivers. Meo compares the loose curve with the straight yarn and watches the tiny vibration travel along the taut line.
7–9s: Meo points to the straight tension mark and signals Bố to keep the yarn taut without over-tightening. Bố stops just before the marked zone is centered.
9–10s: the line is nearly taut enough, but the far membrane still moves only faintly. End unresolved.
Physics: a taut line transmits vibration efficiently between the cone membranes; slack yarn bends and absorbs more of the motion.
Audio: soft lid thump, magical pulse, gentle paper taps, faint yarn hum, workshop ambience. No dialogue.
Constraints: preserve identity, age and clothing; thick soft yarn fixed between posts; no wrapping around bodies, loose loops, sharp parts, loud sound, climbing, pinching, falls, extra characters, dangerous motion, cuts or text.</x:v>
      </x:c>
      <x:c r="H10" s="24" t="str">
        <x:v>Độ căng dây + truyền rung</x:v>
      </x:c>
      <x:c r="I10" s="24" t="str">
        <x:v>Tò mò chuyển thành lắng nghe và so sánh cẩn thận</x:v>
      </x:c>
      <x:c r="J10" s="24" t="str">
        <x:v>Xưởng sáng tạo bên Magic Invention Box và hai trụ âm thanh có đệm</x:v>
      </x:c>
      <x:c r="K10" s="24" t="str">
        <x:v>Phễu nói bằng giấy và sợi len mềm dày cạnh hộp mở; Bố ở tay nắm nắp; Meo ở khe</x:v>
      </x:c>
      <x:c r="L10" s="24" t="str">
        <x:v>Hai vật biến thành Whisper Line; dây chùng làm tắt rung, dây căng khiến màng phía xa rung nhìn thấy rõ</x:v>
      </x:c>
      <x:c r="M10" s="24" t="str">
        <x:v>Đặt hai vật, so sánh dây chùng với dây thẳng và xác định vùng căng an toàn</x:v>
      </x:c>
      <x:c r="N10" s="24" t="str">
        <x:v>Đóng/mở hộp, gõ phễu gần và điều chỉnh tay căng dây có đệm</x:v>
      </x:c>
      <x:c r="O10" s="24" t="str">
        <x:v>Whisper Line đã hình thành; dây gần đạt độ căng đúng; màng xa vẫn rung yếu; chưa giải quyết</x:v>
      </x:c>
      <x:c r="P10" s="24" t="str">
        <x:v>Medium-wide three-quarter trong xưởng; không cắt cảnh</x:v>
      </x:c>
      <x:c r="Q10" s="24" t="str">
        <x:v>Dây căng truyền rung hiệu quả giữa các màng phễu; dây chùng uốn và hấp thụ nhiều chuyển động hơn</x:v>
      </x:c>
      <x:c r="R10" s="24" t="str">
        <x:v>Không thoại</x:v>
      </x:c>
      <x:c r="S10" s="24" t="str">
        <x:v>Tiếng nắp nhẹ; xung phép thuật; gõ giấy; tiếng dây ngân rất nhẹ; ambience xưởng</x:v>
      </x:c>
      <x:c r="T10" s="24" t="str">
        <x:v>PASS — G-010/G-011/G-012/G-020/G-034/G-036/G-120; canonical two-object→one-invention signature central, Bố indispensable, mechanism clue visibly causal, child-safe, unresolved Part A.</x:v>
      </x:c>
      <x:c r="U10" s="24" t="str">
        <x:v>PASS — G-002/G-003/G-030/G-031/G-037/G-040/G-050/G-051/G-060/G-070/G-090/G-150/G-160/G-161/G-162/G-163/G-164; 319 words; zero at-sign characters.</x:v>
      </x:c>
      <x:c r="V10" s="24" t="str">
        <x:v>AI text audit only; visual/render audit not yet performed. USER APPROVAL pending.</x:v>
      </x:c>
      <x:c r="W10" s="25" t="str">
        <x:v>AI AUDITED</x:v>
      </x:c>
    </x:row>
    <x:row r="11" ht="340" customHeight="1">
      <x:c r="A11" s="57" t="str">
        <x:v>I002-S1-05B</x:v>
      </x:c>
      <x:c r="B11" s="24" t="str">
        <x:v>I-002</x:v>
      </x:c>
      <x:c r="C11" s="24" t="str">
        <x:v>Season 1</x:v>
      </x:c>
      <x:c r="D11" s="24" t="str">
        <x:v>5</x:v>
      </x:c>
      <x:c r="E11" s="24" t="str">
        <x:v>B</x:v>
      </x:c>
      <x:c r="F11" s="24" t="str">
        <x:v>Đường thì thầm bằng phễu và len</x:v>
      </x:c>
      <x:c r="G11"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workshop angle, keeping both Whisper Line posts and the tension mark visible. No cuts.
Setting and opening state: the paper cone is mounted on one post, the thick yarn runs to the far membrane, and the line is almost taut. Bố holds the padded tension handle. Meo stands beside the straight-line mark.
0–2s: Meo points to the center of the safe tension zone and signals one small turn. Bố rotates the handle slowly.
2–7s: the yarn straightens to the marked tension. Bố stops and gently taps the near cone rim twice. Each tap makes the far membrane quiver clearly with the same rhythm. Meo watches the visible vibration arrive and signals that the line should stay at this tension. Bố holds the handle steady without tightening further.
7–9s: Bố locks the tension handle into a soft stop. Meo leans near, not against, the far cone as one final gentle tap travels through the line.
9–10s: a tiny sound-wave symbol glows on both posts. Meo says in Vietnamese, with a warm five-year-old voice and clear, delighted delivery: “Bố ơi, tiếng chạy qua rồi!” Keep the exact wording; do not translate it.
Physics: correct line tension keeps the yarn straight enough to carry vibration from one cone membrane to the other with less damping.
Audio: gentle paper taps, faint yarn hum, soft stop click, magical chime, short dialogue.
Constraints: exact A-to-B continuity; preserve identity, age and clothing; thick soft yarn fixed between posts; no wrapping around bodies, loose loops, sharp parts, loud sound, climbing, pinching, falls, extra characters, dangerous motion, cuts or text.</x:v>
      </x:c>
      <x:c r="H11" s="24" t="str">
        <x:v>Độ căng dây + truyền rung</x:v>
      </x:c>
      <x:c r="I11" s="24" t="str">
        <x:v>Thỏa mãn khi đưa âm thanh nhỏ đi qua phát minh</x:v>
      </x:c>
      <x:c r="J11" s="24" t="str">
        <x:v>Xưởng sáng tạo bên Magic Invention Box và hai trụ âm thanh có đệm</x:v>
      </x:c>
      <x:c r="K11" s="24" t="str">
        <x:v>Whisper Line đã hình thành; dây gần căng; Bố ở tay căng; Meo cạnh dấu vùng căng an toàn</x:v>
      </x:c>
      <x:c r="L11" s="24" t="str">
        <x:v>Meo hướng dẫn chỉnh độ căng cuối, Bố gõ phễu và màng xa lặp lại rõ cùng nhịp</x:v>
      </x:c>
      <x:c r="M11" s="24" t="str">
        <x:v>Ra hiệu tâm vùng căng an toàn và kiểm tra các rung động nhìn thấy khớp nhau</x:v>
      </x:c>
      <x:c r="N11" s="24" t="str">
        <x:v>Xoay và khóa tay căng, sau đó tạo các nhịp gõ thử nhẹ</x:v>
      </x:c>
      <x:c r="O11" s="24" t="str">
        <x:v>Hai trụ rung cùng nhịp; biểu tượng sóng âm phát sáng; kết thúc tích cực</x:v>
      </x:c>
      <x:c r="P11" s="24" t="str">
        <x:v>Cùng góc medium-wide để giữ continuity; không cắt cảnh</x:v>
      </x:c>
      <x:c r="Q11" s="24" t="str">
        <x:v>Độ căng đúng giữ dây đủ thẳng để truyền rung của phễu với ít suy hao hơn</x:v>
      </x:c>
      <x:c r="R11" s="24" t="str">
        <x:v>Meo: “Bố ơi, tiếng chạy qua rồi!”</x:v>
      </x:c>
      <x:c r="S11" s="24" t="str">
        <x:v>Gõ giấy nhẹ; dây ngân khẽ; tiếng chốt; chuông phép thuật; thoại ngắn</x:v>
      </x:c>
      <x:c r="T11" s="24" t="str">
        <x:v>PASS — G-010/G-011/G-012/G-020/G-034/G-036/G-120; exact A→B handoff, Bố indispensable, Meo applies the observed mechanism clue and the invention resolves safely.</x:v>
      </x:c>
      <x:c r="U11" s="24" t="str">
        <x:v>PASS — G-002/G-003/G-030/G-031/G-037/G-040/G-050/G-051/G-060/G-070/G-080/G-081/G-090/G-150/G-160/G-161/G-162/G-163/G-164; 317 words; zero at-sign characters.</x:v>
      </x:c>
      <x:c r="V11" s="24" t="str">
        <x:v>AI text audit only; visual/render audit not yet performed. USER APPROVAL pending.</x:v>
      </x:c>
      <x:c r="W11" s="25" t="str">
        <x:v>AI AUDITED</x:v>
      </x:c>
    </x:row>
    <x:row r="12" ht="340" customHeight="1">
      <x:c r="A12" s="57" t="str">
        <x:v>I002-S1-06A</x:v>
      </x:c>
      <x:c r="B12" s="24" t="str">
        <x:v>I-002</x:v>
      </x:c>
      <x:c r="C12" s="24" t="str">
        <x:v>Season 1</x:v>
      </x:c>
      <x:c r="D12" s="24" t="str">
        <x:v>6</x:v>
      </x:c>
      <x:c r="E12" s="24" t="str">
        <x:v>A</x:v>
      </x:c>
      <x:c r="F12" s="24" t="str">
        <x:v>Kim nhảy bằng nút chai và que</x:v>
      </x:c>
      <x:c r="G12"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side workshop shot beside the Magic Invention Box and a low motion-test stand. No cuts.
Setting: a large cork disk and a wooden craft stick lie beside the open invention box.
0–2s: Meo places the cork disk and craft stick into two padded slots. Bố closes the soft lid with both handles. An orange pulse circles the box.
2–7s: Bố opens the lid. The objects have become one Dancing Pointer: the cork disk is an enclosed rotating cam with an off-center rounded peg, while the craft stick is a vertical follower riding on that peg. Bố turns a padded side crank slowly. As the peg travels upward, the pointer rises; as it turns downward, the pointer sinks. He pauses with the peg near one side. Meo watches the peg position and compares it with the pointer height, realizing the off-center path controls the up-and-down motion.
7–9s: Meo traces the circular peg path, then points to the top position where the pointer should reach its highest mark. Bố rotates toward that position and holds just before the top.
9–10s: the pointer is almost at its highest line but has not reached it. End unresolved.
Physics: an off-center cam converts circular rotation into repeated vertical follower motion; peg height around the circle determines pointer height.
Audio: soft lid thump, magical pulse, gentle cork rotation, follower taps, workshop ambience. No dialogue.
Constraints: preserve identity, age and clothing; enclosed slow cam; rounded components; hands stay on padded handles; no exposed pinch points, fast spinning, sharp parts, climbing, falls, extra characters, dangerous motion, cuts or text.</x:v>
      </x:c>
      <x:c r="H12" s="24" t="str">
        <x:v>Cam lệch tâm + chuyển động quay thành tịnh tiến</x:v>
      </x:c>
      <x:c r="I12" s="24" t="str">
        <x:v>Ngạc nhiên chuyển thành dự đoán chuyển động</x:v>
      </x:c>
      <x:c r="J12" s="24" t="str">
        <x:v>Xưởng sáng tạo bên Magic Invention Box và giá test chuyển động thấp</x:v>
      </x:c>
      <x:c r="K12" s="24" t="str">
        <x:v>Đĩa nút chai lớn và que gỗ thủ công cạnh hộp mở; Bố ở tay nắm nắp; Meo ở khe</x:v>
      </x:c>
      <x:c r="L12" s="24" t="str">
        <x:v>Hai vật biến thành Dancing Pointer; chốt cam lệch tâm làm thanh theo dõi lên xuống khi Bố xoay đĩa</x:v>
      </x:c>
      <x:c r="M12" s="24" t="str">
        <x:v>Đặt hai vật, theo dõi độ cao chốt quanh vòng tròn và dự đoán vị trí cao nhất của kim</x:v>
      </x:c>
      <x:c r="N12" s="24" t="str">
        <x:v>Đóng/mở hộp, xoay tay quay đệm chậm và dừng ở các vị trí cam có kiểm soát</x:v>
      </x:c>
      <x:c r="O12" s="24" t="str">
        <x:v>Dancing Pointer đã hình thành; chốt cam ngay dưới đỉnh; kim gần vạch cao nhất; chưa giải quyết</x:v>
      </x:c>
      <x:c r="P12" s="24" t="str">
        <x:v>Medium-wide ngang trong xưởng; không cắt cảnh</x:v>
      </x:c>
      <x:c r="Q12" s="24" t="str">
        <x:v>Cam lệch tâm biến chuyển động tròn thành lên-xuống của thanh theo dõi; độ cao chốt quyết định độ cao kim</x:v>
      </x:c>
      <x:c r="R12" s="24" t="str">
        <x:v>Không thoại</x:v>
      </x:c>
      <x:c r="S12" s="24" t="str">
        <x:v>Tiếng nắp nhẹ; xung phép thuật; nút chai xoay; thanh gõ nhẹ; ambience xưởng</x:v>
      </x:c>
      <x:c r="T12" s="24" t="str">
        <x:v>PASS — G-010/G-011/G-012/G-020/G-034/G-036/G-120; canonical two-object→one-invention signature central, Bố indispensable, mechanism clue visibly causal, child-safe, unresolved Part A.</x:v>
      </x:c>
      <x:c r="U12" s="24" t="str">
        <x:v>PASS — G-002/G-003/G-030/G-031/G-037/G-040/G-050/G-051/G-060/G-070/G-090/G-150/G-160/G-161/G-162/G-163/G-164; 320 words; zero at-sign characters.</x:v>
      </x:c>
      <x:c r="V12" s="24" t="str">
        <x:v>AI text audit only; visual/render audit not yet performed. USER APPROVAL pending.</x:v>
      </x:c>
      <x:c r="W12" s="25" t="str">
        <x:v>AI AUDITED</x:v>
      </x:c>
    </x:row>
    <x:row r="13" ht="340" customHeight="1">
      <x:c r="A13" s="57" t="str">
        <x:v>I002-S1-06B</x:v>
      </x:c>
      <x:c r="B13" s="24" t="str">
        <x:v>I-002</x:v>
      </x:c>
      <x:c r="C13" s="24" t="str">
        <x:v>Season 1</x:v>
      </x:c>
      <x:c r="D13" s="24" t="str">
        <x:v>6</x:v>
      </x:c>
      <x:c r="E13" s="24" t="str">
        <x:v>B</x:v>
      </x:c>
      <x:c r="F13" s="24" t="str">
        <x:v>Kim nhảy bằng nút chai và que</x:v>
      </x:c>
      <x:c r="G13"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side, keeping the Dancing Pointer cam window and height marks visible. No cuts.
Setting and opening state: the cork cam sits in its enclosed housing. Its off-center peg is just below the top position, and the craft-stick pointer is almost at its highest line. Bố holds the padded crank. Meo stands beside the marks.
0–2s: Meo points to the top of the circular peg path and signals a small forward turn. Bố rotates slowly.
2–7s: the peg reaches the top of its circle and lifts the pointer exactly to the highest line. Meo signals continue. Bố keeps turning through one full slow rotation; the pointer descends smoothly, reaches its lowest line, then rises again as the peg returns upward. Meo follows the repeating relationship between peg height and pointer height.
7–9s: when the peg reaches the top a second time, Meo signals stop. Bố locks the crank into a soft catch.
9–10s: the pointer gives one cheerful glow at the top mark. Meo says in Vietnamese, with a warm five-year-old voice and clear, delighted delivery: “Bố ơi, kim nhảy đúng rồi!” Keep the exact wording; do not translate it.
Physics: the off-center cam converts rotation into predictable vertical motion; one complete turn produces one complete rise-and-fall cycle.
Audio: soft cork rotation, quiet follower taps, catch click, magical chime, short dialogue.
Constraints: exact A-to-B continuity; preserve identity, age and clothing; enclosed slow cam; broad rounded components; hands stay on padded handles; no exposed pinch points, fast spinning, sharp parts, climbing, falls, extra characters, dangerous motion, cuts or text.</x:v>
      </x:c>
      <x:c r="H13" s="24" t="str">
        <x:v>Cam lệch tâm + chuyển động quay thành tịnh tiến</x:v>
      </x:c>
      <x:c r="I13" s="24" t="str">
        <x:v>Tự hào khi dự đoán được một chu kỳ cơ học lặp lại</x:v>
      </x:c>
      <x:c r="J13" s="24" t="str">
        <x:v>Xưởng sáng tạo bên Magic Invention Box và giá test chuyển động thấp</x:v>
      </x:c>
      <x:c r="K13" s="24" t="str">
        <x:v>Dancing Pointer đã hình thành; chốt gần đỉnh; kim gần vạch cao nhất; Bố ở tay quay; Meo cạnh dấu</x:v>
      </x:c>
      <x:c r="L13" s="24" t="str">
        <x:v>Meo hướng dẫn một vòng chậm đầy đủ, Bố xoay cam để kim hoàn thành một chu kỳ lên-xuống dự đoán được</x:v>
      </x:c>
      <x:c r="M13" s="24" t="str">
        <x:v>Ra hiệu vị trí đỉnh, theo dõi trọn một chu kỳ và đánh dấu lần đạt đỉnh tiếp theo</x:v>
      </x:c>
      <x:c r="N13" s="24" t="str">
        <x:v>Xoay tay quay đệm đúng một vòng chậm và khóa tại vị trí đỉnh lần hai</x:v>
      </x:c>
      <x:c r="O13" s="24" t="str">
        <x:v>Kim dừng đúng vạch cao nhất sau một chu kỳ; dấu đỉnh phát sáng; kết thúc tích cực</x:v>
      </x:c>
      <x:c r="P13" s="24" t="str">
        <x:v>Cùng góc medium-wide để giữ continuity; không cắt cảnh</x:v>
      </x:c>
      <x:c r="Q13" s="24" t="str">
        <x:v>Một vòng quay đầy đủ của cam lệch tâm tạo một chu kỳ lên-xuống hoàn chỉnh</x:v>
      </x:c>
      <x:c r="R13" s="24" t="str">
        <x:v>Meo: “Bố ơi, kim nhảy đúng rồi!”</x:v>
      </x:c>
      <x:c r="S13" s="24" t="str">
        <x:v>Nút chai xoay nhẹ; thanh gõ; tiếng chốt; chuông phép thuật; thoại ngắn</x:v>
      </x:c>
      <x:c r="T13" s="24" t="str">
        <x:v>PASS — G-010/G-011/G-012/G-020/G-034/G-036/G-120; exact A→B handoff, Bố indispensable, Meo applies the observed mechanism clue and the invention resolves safely.</x:v>
      </x:c>
      <x:c r="U13" s="24" t="str">
        <x:v>PASS — G-002/G-003/G-030/G-031/G-037/G-040/G-050/G-051/G-060/G-070/G-080/G-081/G-090/G-150/G-160/G-161/G-162/G-163/G-164; 313 words; zero at-sign characters.</x:v>
      </x:c>
      <x:c r="V13" s="24" t="str">
        <x:v>AI text audit only; visual/render audit not yet performed. USER APPROVAL pending.</x:v>
      </x:c>
      <x:c r="W13" s="25" t="str">
        <x:v>AI AUDITED</x:v>
      </x:c>
    </x:row>
    <x:row r="14" ht="340" customHeight="1">
      <x:c r="A14" s="57" t="str">
        <x:v>I002-S1-07A</x:v>
      </x:c>
      <x:c r="B14" s="24" t="str">
        <x:v>I-002</x:v>
      </x:c>
      <x:c r="C14" s="24" t="str">
        <x:v>Season 1</x:v>
      </x:c>
      <x:c r="D14" s="24" t="str">
        <x:v>7</x:v>
      </x:c>
      <x:c r="E14" s="24" t="str">
        <x:v>A</x:v>
      </x:c>
      <x:c r="F14" s="24" t="str">
        <x:v>Thang xoắn bằng nắp và que</x:v>
      </x:c>
      <x:c r="G14"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three-quarter workshop shot beside the Magic Invention Box and a low lift stand. No cuts.
Setting: a large plastic jar lid with broad molded threads and a wooden craft stick lie beside the open invention box.
0–2s: Meo places the lid and craft stick into two padded slots. Bố closes the soft lid with both handles. A green-gold pulse moves around the seams.
2–7s: Bố opens the lid. The two objects have become one Spiral Lift: the jar lid forms a large threaded turning collar while the craft stick becomes a vertical marker fixed to a rising platform. Bố turns the padded collar clockwise. The platform climbs a little. He reverses counterclockwise and the platform moves back down. Meo compares rotation direction with vertical movement and watches a spiral guide line travel past the fixed height marks.
7–9s: Meo points clockwise and then to the upper star mark, predicting which direction will raise the platform toward it. Bố turns forward again and holds with the platform just below the star.
9–10s: the marker remains one small step short of the target height. End unresolved.
Physics: screw threads convert rotational motion into linear travel; reversing rotation reverses the platform direction along the same thread.
Audio: soft lid thump, magical pulse, gentle threaded clicks, wood tap, workshop ambience. No dialogue.
Constraints: preserve identity, age and clothing; oversized rounded plastic threads; slow manual motion; low platform; hands remain on padded handle; no exposed pinch points, climbing, lifting people, sharp parts, falls, extra characters, dangerous motion, cuts or text.</x:v>
      </x:c>
      <x:c r="H14" s="24" t="str">
        <x:v>Ren vít + chuyển động quay thành hành trình thẳng</x:v>
      </x:c>
      <x:c r="I14" s="24" t="str">
        <x:v>Tò mò chuyển thành dự đoán hướng tự tin</x:v>
      </x:c>
      <x:c r="J14" s="24" t="str">
        <x:v>Xưởng sáng tạo bên Magic Invention Box và giá nâng thấp</x:v>
      </x:c>
      <x:c r="K14" s="24" t="str">
        <x:v>Nắp lọ nhựa ren lớn và que gỗ thủ công cạnh hộp mở; Bố ở tay nắm nắp; Meo ở khe</x:v>
      </x:c>
      <x:c r="L14" s="24" t="str">
        <x:v>Hai vật biến thành Spiral Lift; xoay vòng ren theo chiều kim đồng hồ nâng mốc, xoay ngược hạ xuống</x:v>
      </x:c>
      <x:c r="M14" s="24" t="str">
        <x:v>Đặt hai vật, so sánh chiều xoay với thay đổi độ cao và dự đoán đường tới ngôi sao trên</x:v>
      </x:c>
      <x:c r="N14" s="24" t="str">
        <x:v>Đóng/mở hộp, xoay vòng ren cỡ lớn theo cả hai chiều và giữ ngay dưới mục tiêu</x:v>
      </x:c>
      <x:c r="O14" s="24" t="str">
        <x:v>Spiral Lift đã hình thành; mốc thấp hơn dấu sao trên một nấc; chưa giải quyết</x:v>
      </x:c>
      <x:c r="P14" s="24" t="str">
        <x:v>Medium-wide three-quarter trong xưởng; không cắt cảnh</x:v>
      </x:c>
      <x:c r="Q14" s="24" t="str">
        <x:v>Ren vít biến chuyển động quay thành hành trình thẳng của bệ; đảo chiều quay sẽ đảo chiều chuyển động</x:v>
      </x:c>
      <x:c r="R14" s="24" t="str">
        <x:v>Không thoại</x:v>
      </x:c>
      <x:c r="S14" s="24" t="str">
        <x:v>Tiếng nắp nhẹ; xung phép thuật; click ren; gỗ chạm nhẹ; ambience xưởng</x:v>
      </x:c>
      <x:c r="T14" s="24" t="str">
        <x:v>PASS — G-010/G-011/G-012/G-020/G-034/G-036/G-120; canonical two-object→one-invention signature central, Bố indispensable, mechanism clue visibly causal, child-safe, unresolved Part A.</x:v>
      </x:c>
      <x:c r="U14" s="24" t="str">
        <x:v>PASS — G-002/G-003/G-030/G-031/G-037/G-040/G-050/G-051/G-060/G-070/G-090/G-150/G-160/G-161/G-162/G-163/G-164; 315 words; zero at-sign characters.</x:v>
      </x:c>
      <x:c r="V14" s="24" t="str">
        <x:v>AI text audit only; visual/render audit not yet performed. USER APPROVAL pending.</x:v>
      </x:c>
      <x:c r="W14" s="25" t="str">
        <x:v>AI AUDITED</x:v>
      </x:c>
    </x:row>
    <x:row r="15" ht="340" customHeight="1">
      <x:c r="A15" s="57" t="str">
        <x:v>I002-S1-07B</x:v>
      </x:c>
      <x:c r="B15" s="24" t="str">
        <x:v>I-002</x:v>
      </x:c>
      <x:c r="C15" s="24" t="str">
        <x:v>Season 1</x:v>
      </x:c>
      <x:c r="D15" s="24" t="str">
        <x:v>7</x:v>
      </x:c>
      <x:c r="E15" s="24" t="str">
        <x:v>B</x:v>
      </x:c>
      <x:c r="F15" s="24" t="str">
        <x:v>Thang xoắn bằng nắp và que</x:v>
      </x:c>
      <x:c r="G15"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workshop angle, keeping the Spiral Lift collar, platform and star mark visible. No cuts.
Setting and opening state: the craft-stick marker stands on the rising platform just below the upper star mark. Bố holds the padded threaded collar. Meo stands beside the spiral guide.
0–2s: Meo points clockwise and to the final star mark. Bố keeps the platform still.
2–7s: Bố turns the collar slowly clockwise. The threaded platform rises in small steady steps while Meo tracks the spiral guide against the height marks. As the marker approaches the star, she signals slower. Bố makes one final short turn until the platform reaches the marked level exactly.
7–9s: Meo signals stop. Bố seats the collar into a soft detent that prevents further rotation. The platform remains at the target height.
9–10s: the star mark glows beside the craft-stick marker. Meo says in Vietnamese, with a warm five-year-old voice and clear, delighted delivery: “Bố ơi, thang xoắn lên tới rồi!” Keep the exact wording; do not translate it.
Physics: clockwise rotation advances the threaded collar along its spiral path, converting each turn into a predictable amount of upward travel.
Audio: gentle threaded clicks, soft detent tap, magical chime, workshop ambience, short dialogue.
Constraints: exact A-to-B continuity; preserve identity, age and clothing; oversized rounded plastic threads; slow manual motion; low platform; hands remain on padded handle; no exposed pinch points, climbing, lifting people, sharp parts, falls, extra characters, dangerous motion, cuts or text.</x:v>
      </x:c>
      <x:c r="H15" s="24" t="str">
        <x:v>Ren vít + chuyển động quay thành hành trình thẳng</x:v>
      </x:c>
      <x:c r="I15" s="24" t="str">
        <x:v>Thỏa mãn khi biến xoay thành nâng chính xác</x:v>
      </x:c>
      <x:c r="J15" s="24" t="str">
        <x:v>Xưởng sáng tạo bên Magic Invention Box và giá nâng thấp</x:v>
      </x:c>
      <x:c r="K15" s="24" t="str">
        <x:v>Spiral Lift đã hình thành; mốc ngay dưới ngôi sao trên; Bố ở vòng ren; Meo cạnh đường xoắn</x:v>
      </x:c>
      <x:c r="L15" s="24" t="str">
        <x:v>Meo hướng dẫn các vòng cuối theo chiều kim đồng hồ, Bố nâng và khóa bệ đúng độ cao ngôi sao</x:v>
      </x:c>
      <x:c r="M15" s="24" t="str">
        <x:v>Theo dõi đường xoắn theo dấu cao độ, ra hiệu chậm lại gần mục tiêu và đánh dấu điểm dừng</x:v>
      </x:c>
      <x:c r="N15" s="24" t="str">
        <x:v>Xoay vòng đệm theo chiều kim đồng hồ và đặt vào chốt giữ mềm</x:v>
      </x:c>
      <x:c r="O15" s="24" t="str">
        <x:v>Mốc que gỗ thẳng hàng với ngôi sao trên; sao phát sáng; kết thúc tích cực</x:v>
      </x:c>
      <x:c r="P15" s="24" t="str">
        <x:v>Cùng góc medium-wide để giữ continuity; không cắt cảnh</x:v>
      </x:c>
      <x:c r="Q15" s="24" t="str">
        <x:v>Xoay ren theo chiều kim đồng hồ làm vòng tiến dọc đường xoắn, tạo hành trình nâng dự đoán được</x:v>
      </x:c>
      <x:c r="R15" s="24" t="str">
        <x:v>Meo: “Bố ơi, thang xoắn lên tới rồi!”</x:v>
      </x:c>
      <x:c r="S15" s="24" t="str">
        <x:v>Click ren; chạm chốt; chuông phép thuật; ambience xưởng; thoại ngắn</x:v>
      </x:c>
      <x:c r="T15" s="24" t="str">
        <x:v>PASS — G-010/G-011/G-012/G-020/G-034/G-036/G-120; exact A→B handoff, Bố indispensable, Meo applies the observed mechanism clue and the invention resolves safely.</x:v>
      </x:c>
      <x:c r="U15" s="24" t="str">
        <x:v>PASS — G-002/G-003/G-030/G-031/G-037/G-040/G-050/G-051/G-060/G-070/G-080/G-081/G-090/G-150/G-160/G-161/G-162/G-163/G-164; 297 words; zero at-sign characters.</x:v>
      </x:c>
      <x:c r="V15" s="24" t="str">
        <x:v>AI text audit only; visual/render audit not yet performed. USER APPROVAL pending.</x:v>
      </x:c>
      <x:c r="W15" s="25" t="str">
        <x:v>AI AUDITED</x:v>
      </x:c>
    </x:row>
    <x:row r="16" ht="340" customHeight="1">
      <x:c r="A16" s="57" t="str">
        <x:v>I002-S1-08A</x:v>
      </x:c>
      <x:c r="B16" s="24" t="str">
        <x:v>I-002</x:v>
      </x:c>
      <x:c r="C16" s="24" t="str">
        <x:v>Season 1</x:v>
      </x:c>
      <x:c r="D16" s="24" t="str">
        <x:v>8</x:v>
      </x:c>
      <x:c r="E16" s="24" t="str">
        <x:v>A</x:v>
      </x:c>
      <x:c r="F16" s="24" t="str">
        <x:v>Bộ nâng sao bằng bánh xe và ruy băng</x:v>
      </x:c>
      <x:c r="G16"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side workshop shot beside the Magic Invention Box and a low pulley frame. No cuts.
Setting: a cardboard wheel and a broad cloth ribbon lie beside the open invention box.
0–2s: Meo places the wheel and ribbon into two padded slots. Bố closes the soft lid with both handles. A blue pulse flashes.
2–7s: Bố opens the lid. The objects have become one Star Lifter: the cardboard wheel is enclosed as a pulley, and the broad ribbon runs over it to a star marker inside a guide track. Bố pulls the padded ribbon handle downward while the star marker rises. When he lets the ribbon drift partly out of the wheel groove, the ribbon rubs the rim and the marker barely moves. He reseats it in the center groove and the motion becomes smooth again. Meo compares the off-groove drag with the centered path.
7–9s: Meo points to the wheel groove, then traces the ribbon path over the top and downward to Bố’s handle. Bố centers the ribbon and holds before lifting farther.
9–10s: the star marker remains halfway up the guide track. End unresolved.
Physics: the pulley redirects Bố’s downward pull into upward marker motion; keeping the broad ribbon centered in the groove reduces rubbing and allows smooth travel.
Audio: soft lid thump, magical pulse, ribbon slide, cardboard wheel hum, workshop ambience. No dialogue.
Constraints: preserve identity, age and clothing; broad ribbon fixed inside low frame; enclosed pulley; lightweight marker; no loose loops near bodies, overhead loads, pinching, climbing, falls, sharp parts, extra characters, dangerous motion, cuts or text.</x:v>
      </x:c>
      <x:c r="H16" s="24" t="str">
        <x:v>Ròng rọc đổi hướng lực + theo rãnh</x:v>
      </x:c>
      <x:c r="I16" s="24" t="str">
        <x:v>Tò mò chuyển thành theo dõi đường đi rõ ràng</x:v>
      </x:c>
      <x:c r="J16" s="24" t="str">
        <x:v>Xưởng sáng tạo bên Magic Invention Box và khung ròng rọc thấp</x:v>
      </x:c>
      <x:c r="K16" s="24" t="str">
        <x:v>Bánh bìa và dải vải rộng cạnh hộp mở; Bố ở tay nắm nắp; Meo ở khe</x:v>
      </x:c>
      <x:c r="L16" s="24" t="str">
        <x:v>Hai vật biến thành Star Lifter; dải chạy đúng tâm trên ròng rọc kín nâng mốc mượt, còn lệch rãnh gây cọ và chậm</x:v>
      </x:c>
      <x:c r="M16" s="24" t="str">
        <x:v>Đặt hai vật, so sánh lực cản khi lệch rãnh với chạy đúng tâm và lần theo đường dải đúng</x:v>
      </x:c>
      <x:c r="N16" s="24" t="str">
        <x:v>Đóng/mở hộp, kéo tay nắm dải đệm và đặt lại dải vào rãnh ròng rọc</x:v>
      </x:c>
      <x:c r="O16" s="24" t="str">
        <x:v>Star Lifter đã hình thành; dải đã vào tâm; mốc ở nửa đường ray; chưa giải quyết</x:v>
      </x:c>
      <x:c r="P16" s="24" t="str">
        <x:v>Medium-wide ngang trong xưởng; không cắt cảnh</x:v>
      </x:c>
      <x:c r="Q16" s="24" t="str">
        <x:v>Ròng rọc đổi lực kéo xuống của Bố thành chuyển động nâng mốc; chạy đúng rãnh giảm cọ xát</x:v>
      </x:c>
      <x:c r="R16" s="24" t="str">
        <x:v>Không thoại</x:v>
      </x:c>
      <x:c r="S16" s="24" t="str">
        <x:v>Tiếng nắp nhẹ; xung phép thuật; dải trượt; bánh bìa ù nhẹ; ambience xưởng</x:v>
      </x:c>
      <x:c r="T16" s="24" t="str">
        <x:v>PASS — G-010/G-011/G-012/G-020/G-034/G-036/G-120; canonical two-object→one-invention signature central, Bố indispensable, mechanism clue visibly causal, child-safe, unresolved Part A.</x:v>
      </x:c>
      <x:c r="U16" s="24" t="str">
        <x:v>PASS — G-002/G-003/G-030/G-031/G-037/G-040/G-050/G-051/G-060/G-070/G-090/G-150/G-160/G-161/G-162/G-163/G-164; 320 words; zero at-sign characters.</x:v>
      </x:c>
      <x:c r="V16" s="24" t="str">
        <x:v>AI text audit only; visual/render audit not yet performed. USER APPROVAL pending.</x:v>
      </x:c>
      <x:c r="W16" s="25" t="str">
        <x:v>AI AUDITED</x:v>
      </x:c>
    </x:row>
    <x:row r="17" ht="340" customHeight="1">
      <x:c r="A17" s="57" t="str">
        <x:v>I002-S1-08B</x:v>
      </x:c>
      <x:c r="B17" s="24" t="str">
        <x:v>I-002</x:v>
      </x:c>
      <x:c r="C17" s="24" t="str">
        <x:v>Season 1</x:v>
      </x:c>
      <x:c r="D17" s="24" t="str">
        <x:v>8</x:v>
      </x:c>
      <x:c r="E17" s="24" t="str">
        <x:v>B</x:v>
      </x:c>
      <x:c r="F17" s="24" t="str">
        <x:v>Bộ nâng sao bằng bánh xe và ruy băng</x:v>
      </x:c>
      <x:c r="G17"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side, keeping the Star Lifter pulley, ribbon groove and guide track visible. No cuts.
Setting and opening state: the lightweight star marker is halfway up its shallow track. The broad ribbon is centered in the pulley groove. Bố holds the padded downward handle. Meo stands beside the guide marks.
0–2s: Meo points to the centered ribbon and then to the top star stop. Bố holds the wheel steady.
2–7s: Bố pulls the padded handle slowly downward. The pulley rotates while the opposite ribbon segment lifts the star marker smoothly along the track. Meo watches the ribbon remain centered and signals him to continue. The marker rises without rubbing or swaying.
7–9s: when the marker reaches the padded top stop, Meo signals stop. Bố secures the handle in a low soft catch so the ribbon cannot unwind.
9–10s: the raised star glows warmly. Meo says in Vietnamese, with a warm five-year-old voice and clear, delighted delivery: “Bố ơi, ngôi sao lên rồi!” Keep the exact wording; do not translate it.
Physics: a pulley changes the direction of applied force; pulling one ribbon end downward raises the attached marker while the centered groove keeps motion smooth.
Audio: gentle ribbon slide, cardboard wheel hum, catch click, magical chime, short dialogue.
Constraints: exact A-to-B continuity; preserve identity, age and clothing; broad ribbon fixed inside low frame; enclosed pulley; lightweight marker; no loose loops near bodies, overhead loads, pinching, climbing, falls, sharp parts, extra characters, dangerous motion, cuts or text.</x:v>
      </x:c>
      <x:c r="H17" s="24" t="str">
        <x:v>Ròng rọc đổi hướng lực + theo rãnh</x:v>
      </x:c>
      <x:c r="I17" s="24" t="str">
        <x:v>Vui khi đổi hướng lực thành một cú nâng mượt</x:v>
      </x:c>
      <x:c r="J17" s="24" t="str">
        <x:v>Xưởng sáng tạo bên Magic Invention Box và khung ròng rọc thấp</x:v>
      </x:c>
      <x:c r="K17" s="24" t="str">
        <x:v>Star Lifter đã hình thành; mốc ở nửa đường; dải đúng tâm; Bố ở tay kéo; Meo cạnh dấu dẫn</x:v>
      </x:c>
      <x:c r="L17" s="24" t="str">
        <x:v>Meo kiểm tra dải vẫn đúng tâm, Bố kéo xuống cho đến khi mốc chạm điểm dừng đệm phía trên</x:v>
      </x:c>
      <x:c r="M17" s="24" t="str">
        <x:v>Theo dõi dải trong rãnh, ra hiệu tiếp tục và đánh dấu điểm dừng trên</x:v>
      </x:c>
      <x:c r="N17" s="24" t="str">
        <x:v>Kéo tay nắm đệm, giữ dải đúng tâm và cố định vào chốt thấp</x:v>
      </x:c>
      <x:c r="O17" s="24" t="str">
        <x:v>Mốc sao được nâng tới điểm dừng trên; sao phát sáng; kết thúc tích cực</x:v>
      </x:c>
      <x:c r="P17" s="24" t="str">
        <x:v>Cùng góc medium-wide để giữ continuity; không cắt cảnh</x:v>
      </x:c>
      <x:c r="Q17" s="24" t="str">
        <x:v>Ròng rọc đổi hướng lực để kéo dải xuống sẽ nâng mốc gắn kèm lên một cách mượt</x:v>
      </x:c>
      <x:c r="R17" s="24" t="str">
        <x:v>Meo: “Bố ơi, ngôi sao lên rồi!”</x:v>
      </x:c>
      <x:c r="S17" s="24" t="str">
        <x:v>Dải trượt; bánh ù nhẹ; tiếng chốt; chuông phép thuật; thoại ngắn</x:v>
      </x:c>
      <x:c r="T17" s="24" t="str">
        <x:v>PASS — G-010/G-011/G-012/G-020/G-034/G-036/G-120; exact A→B handoff, Bố indispensable, Meo applies the observed mechanism clue and the invention resolves safely.</x:v>
      </x:c>
      <x:c r="U17" s="24" t="str">
        <x:v>PASS — G-002/G-003/G-030/G-031/G-037/G-040/G-050/G-051/G-060/G-070/G-080/G-081/G-090/G-150/G-160/G-161/G-162/G-163/G-164; 301 words; zero at-sign characters.</x:v>
      </x:c>
      <x:c r="V17" s="24" t="str">
        <x:v>AI text audit only; visual/render audit not yet performed. USER APPROVAL pending.</x:v>
      </x:c>
      <x:c r="W17" s="25" t="str">
        <x:v>AI AUDITED</x:v>
      </x:c>
    </x:row>
    <x:row r="18" ht="340" customHeight="1">
      <x:c r="A18" s="57" t="str">
        <x:v>I002-S1-09A</x:v>
      </x:c>
      <x:c r="B18" s="24" t="str">
        <x:v>I-002</x:v>
      </x:c>
      <x:c r="C18" s="24" t="str">
        <x:v>Season 1</x:v>
      </x:c>
      <x:c r="D18" s="24" t="str">
        <x:v>9</x:v>
      </x:c>
      <x:c r="E18" s="24" t="str">
        <x:v>A</x:v>
      </x:c>
      <x:c r="F18" s="24" t="str">
        <x:v>Máy trộn quỹ đạo bằng bóng và bát</x:v>
      </x:c>
      <x:c r="G18"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three-quarter workshop shot beside the Magic Invention Box and a circular test tray. No cuts.
Setting: a soft foam ball and a shallow paper bowl lie beside the open invention box.
0–2s: Meo places the ball and bowl into two padded slots. Bố closes the soft lid with both handles. An indigo pulse travels around the box.
2–7s: Bố opens the lid. The two objects have become one Orbit Mixer: the paper bowl forms a curved circular track and the foam ball becomes a glowing moon. Bố tilts the padded bowl slightly toward one side; the moon rolls down and crosses the center. He changes to a circular tilt; the moon begins following the curved rim instead of cutting across the middle. Meo compares the straight crossing with the circular path and notices that moving tilt keeps the moon near the orbit ring.
7–9s: Meo traces the circular ring and signals Bố to keep the tilt small and moving around the bowl. Bố starts the circular motion and holds before completing a full orbit.
9–10s: the foam moon is halfway around the ring. End unresolved.
Physics: gravity pulls the ball toward the lowest part of the tilted bowl; continuously changing the low point around the curved track guides the ball along a circular path.
Audio: lid thump, magical pulse, foam roll, paper rustle, workshop ambience. No dialogue.
Constraints: preserve identity, age and clothing; soft foam ball contained in a rounded tray; slow tabletop motion only; no throwing, launching, climbing, falls, loose small parts, extra characters, dangerous motion, cuts or text.</x:v>
      </x:c>
      <x:c r="H18" s="24" t="str">
        <x:v>Độ cong theo trọng lực + điểm thấp di chuyển</x:v>
      </x:c>
      <x:c r="I18" s="24" t="str">
        <x:v>Bất ngờ chuyển thành dự đoán chuyển động vui vẻ</x:v>
      </x:c>
      <x:c r="J18" s="24" t="str">
        <x:v>Xưởng sáng tạo bên Magic Invention Box và khay test tròn trên bàn</x:v>
      </x:c>
      <x:c r="K18" s="24" t="str">
        <x:v>Bóng foam mềm và bát giấy nông cạnh hộp mở; Bố ở tay nắm nắp; Meo ở khe</x:v>
      </x:c>
      <x:c r="L18" s="24" t="str">
        <x:v>Hai vật biến thành Orbit Mixer; nghiêng cố định làm 'mặt trăng' đi qua tâm, còn nghiêng tròn di động dẫn nó quanh vòng đánh dấu</x:v>
      </x:c>
      <x:c r="M18" s="24" t="str">
        <x:v>Đặt hai vật, so sánh đường thẳng với đường cong và xác định quy luật điểm thấp di chuyển</x:v>
      </x:c>
      <x:c r="N18" s="24" t="str">
        <x:v>Đóng/mở hộp, nghiêng tay nắm bát đệm và bắt đầu chuyển động tròn có kiểm soát</x:v>
      </x:c>
      <x:c r="O18" s="24" t="str">
        <x:v>Orbit Mixer đã hình thành; mặt trăng foam đi được nửa vòng đánh dấu; chưa giải quyết</x:v>
      </x:c>
      <x:c r="P18" s="24" t="str">
        <x:v>Medium-wide three-quarter trong xưởng; không cắt cảnh</x:v>
      </x:c>
      <x:c r="Q18" s="24" t="str">
        <x:v>Trọng lực kéo bóng về điểm thấp của bát; di chuyển điểm thấp quanh đường cong sẽ dẫn bóng theo quỹ đạo tròn</x:v>
      </x:c>
      <x:c r="R18" s="24" t="str">
        <x:v>Không thoại</x:v>
      </x:c>
      <x:c r="S18" s="24" t="str">
        <x:v>Tiếng nắp; xung phép thuật; bóng foam lăn; giấy xào xạc; ambience xưởng</x:v>
      </x:c>
      <x:c r="T18" s="24" t="str">
        <x:v>PASS — G-010/G-011/G-012/G-020/G-034/G-036/G-120; canonical two-object→one-invention signature central, Bố indispensable, mechanism clue visibly causal, child-safe, unresolved Part A.</x:v>
      </x:c>
      <x:c r="U18" s="24" t="str">
        <x:v>PASS — G-002/G-003/G-030/G-031/G-037/G-040/G-050/G-051/G-060/G-070/G-090/G-150/G-160/G-161/G-162/G-163/G-164; 320 words; zero at-sign characters.</x:v>
      </x:c>
      <x:c r="V18" s="24" t="str">
        <x:v>AI text audit only; visual/render audit not yet performed. USER APPROVAL pending.</x:v>
      </x:c>
      <x:c r="W18" s="25" t="str">
        <x:v>AI AUDITED</x:v>
      </x:c>
    </x:row>
    <x:row r="19" ht="340" customHeight="1">
      <x:c r="A19" s="57" t="str">
        <x:v>I002-S1-09B</x:v>
      </x:c>
      <x:c r="B19" s="24" t="str">
        <x:v>I-002</x:v>
      </x:c>
      <x:c r="C19" s="24" t="str">
        <x:v>Season 1</x:v>
      </x:c>
      <x:c r="D19" s="24" t="str">
        <x:v>9</x:v>
      </x:c>
      <x:c r="E19" s="24" t="str">
        <x:v>B</x:v>
      </x:c>
      <x:c r="F19" s="24" t="str">
        <x:v>Máy trộn quỹ đạo bằng bóng và bát</x:v>
      </x:c>
      <x:c r="G19"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workshop angle, keeping the Orbit Mixer bowl and marked orbit ring visible. No cuts.
Setting and opening state: the foam moon is halfway around the circular ring inside the paper-bowl track. Bố holds both padded bowl handles. Meo stands beside the orbit marks.
0–2s: Meo traces the remaining half circle and signals Bố to continue the same gentle moving tilt. Bố keeps the bowl low on the table.
2–7s: Bố shifts the lowest point smoothly around the bowl in a small circular motion. The foam moon follows the curved track, stays near the marked ring and completes one full orbit without crossing the center. Meo follows its position and signals a slower final movement as it approaches the starting star.
7–9s: when the moon reaches the starting mark, Meo signals stop. Bố levels the bowl and seats both handles into soft rests. The moon settles gently at the star.
9–10s: a ring of tiny enclosed lights glows around the bowl. Meo says in Vietnamese, with a warm five-year-old voice and clear, delighted delivery: “Bố ơi, mặt trăng quay tròn rồi!” Keep the exact wording; do not translate it.
Physics: continuously moving the bowl’s lowest point around the curved track lets gravity guide the contained foam ball along the same circular route.
Audio: gentle foam roll, paper rustle, soft rest taps, magical chime, short dialogue.
Constraints: exact A-to-B continuity; preserve identity, age and clothing; soft foam ball contained in a deep rounded tray; slow tabletop motion only; no throwing, launching, climbing, falls, loose small parts, extra characters, dangerous motion, cuts or text.</x:v>
      </x:c>
      <x:c r="H19" s="24" t="str">
        <x:v>Độ cong theo trọng lực + điểm thấp di chuyển</x:v>
      </x:c>
      <x:c r="I19" s="24" t="str">
        <x:v>Vui khi dẫn được một quỹ đạo trọn vẹn có kiểm soát</x:v>
      </x:c>
      <x:c r="J19" s="24" t="str">
        <x:v>Xưởng sáng tạo bên Magic Invention Box và khay test tròn trên bàn</x:v>
      </x:c>
      <x:c r="K19" s="24" t="str">
        <x:v>Orbit Mixer đã hình thành; mặt trăng foam ở nửa vòng; Bố ở tay nắm bát; Meo cạnh dấu</x:v>
      </x:c>
      <x:c r="L19" s="24" t="str">
        <x:v>Meo lần theo nửa vòng còn lại, Bố tiếp tục nghiêng nhẹ theo chuyển động cho đến khi mặt trăng hoàn tất một vòng</x:v>
      </x:c>
      <x:c r="M19" s="24" t="str">
        <x:v>Theo dõi mặt trăng theo vòng quỹ đạo, ra hiệu chậm gần mốc đầu và đánh dấu điểm dừng</x:v>
      </x:c>
      <x:c r="N19" s="24" t="str">
        <x:v>Di chuyển điểm thấp của bát quanh vòng tròn, đưa bát về cân bằng và đặt hai tay nắm nghỉ</x:v>
      </x:c>
      <x:c r="O19" s="24" t="str">
        <x:v>Mặt trăng foam hoàn tất một vòng và dừng ở ngôi sao đầu; đèn quỹ đạo sáng; kết thúc tích cực</x:v>
      </x:c>
      <x:c r="P19" s="24" t="str">
        <x:v>Cùng góc medium-wide để giữ continuity; không cắt cảnh</x:v>
      </x:c>
      <x:c r="Q19" s="24" t="str">
        <x:v>Di chuyển liên tục điểm thấp của bát cho phép trọng lực dẫn bóng foam theo cùng đường tròn</x:v>
      </x:c>
      <x:c r="R19" s="24" t="str">
        <x:v>Meo: “Bố ơi, mặt trăng quay tròn rồi!”</x:v>
      </x:c>
      <x:c r="S19" s="24" t="str">
        <x:v>Bóng foam lăn; giấy xào xạc; chạm dừng nhẹ; chuông phép thuật; thoại ngắn</x:v>
      </x:c>
      <x:c r="T19" s="24" t="str">
        <x:v>PASS — G-010/G-011/G-012/G-020/G-034/G-036/G-120; exact A→B handoff, Bố indispensable, Meo applies the observed mechanism clue and the invention resolves safely.</x:v>
      </x:c>
      <x:c r="U19" s="24" t="str">
        <x:v>PASS — G-002/G-003/G-030/G-031/G-037/G-040/G-050/G-051/G-060/G-070/G-080/G-081/G-090/G-150/G-160/G-161/G-162/G-163/G-164; 317 words; zero at-sign characters.</x:v>
      </x:c>
      <x:c r="V19" s="24" t="str">
        <x:v>AI text audit only; visual/render audit not yet performed. USER APPROVAL pending.</x:v>
      </x:c>
      <x:c r="W19" s="25" t="str">
        <x:v>AI AUDITED</x:v>
      </x:c>
    </x:row>
    <x:row r="20" ht="340" customHeight="1">
      <x:c r="A20" s="57" t="str">
        <x:v>I002-S1-10A</x:v>
      </x:c>
      <x:c r="B20" s="24" t="str">
        <x:v>I-002</x:v>
      </x:c>
      <x:c r="C20" s="24" t="str">
        <x:v>Season 1</x:v>
      </x:c>
      <x:c r="D20" s="24" t="str">
        <x:v>10</x:v>
      </x:c>
      <x:c r="E20" s="24" t="str">
        <x:v>A</x:v>
      </x:c>
      <x:c r="F20" s="24" t="str">
        <x:v>Máy in ý tưởng bằng con lăn và thẻ</x:v>
      </x:c>
      <x:c r="G20" s="24"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front three-quarter workshop shot beside the Magic Invention Box and a flat print board. No cuts.
Setting: a soft foam craft roller and a thick paper card lie beside the open invention box.
0–2s: Meo places the roller and card into two padded slots. Bố closes the soft lid with both handles. The box gives a rainbow pulse.
2–7s: Bố opens the lid. The objects have become one Idea Printer: the blank card feeds beneath a foam roller with magical color inside an enclosed print plate. Bố pushes the padded roller handle forward while pressing more on the left side. A star-and-gear picture appears with a faint right edge. He returns the roller to the start line without printing again. Meo compares the faint right edge with the two end gaps and notices equal gaps keep the roller parallel.
7–9s: Meo points to both equal-height guide marks and signals Bố to hold the roller level for a complete pass. Bố aligns both ends and pauses at the start line.
9–10s: the card is ready for the final even print, but the picture is not complete. End unresolved.
Physics: even pressure across a parallel roller keeps full contact with the card; uneven pressure lifts one side and produces a faint incomplete transfer.
Audio: soft lid thump, rainbow chime, foam roll, paper slide, workshop ambience. No dialogue.
Constraints: preserve identity, age and clothing; dry non-toxic magical color enclosed in print plate; soft roller; stable table; no liquid ink, sharp cutters, heat, climbing, pinching, falls, extra characters, dangerous motion, cuts or readable text.</x:v>
      </x:c>
      <x:c r="H20" s="24" t="str">
        <x:v>Áp lực tiếp xúc đều + truyền đủ bề mặt</x:v>
      </x:c>
      <x:c r="I20" s="24" t="str">
        <x:v>Thử nghiệm tập trung chuyển thành mong chờ phần kết</x:v>
      </x:c>
      <x:c r="J20" s="24" t="str">
        <x:v>Xưởng sáng tạo bên Magic Invention Box và bảng in phẳng</x:v>
      </x:c>
      <x:c r="K20" s="24" t="str">
        <x:v>Con lăn foam mềm và thẻ giấy dày cạnh hộp mở; Bố ở tay nắm nắp; Meo ở khe</x:v>
      </x:c>
      <x:c r="L20" s="24" t="str">
        <x:v>Hai vật biến thành Idea Printer; áp lực con lăn lệch làm một bên in mờ, còn khe dẫn đều cải thiện tiếp xúc</x:v>
      </x:c>
      <x:c r="M20" s="24" t="str">
        <x:v>Đặt hai vật, so sánh khe hai đầu không đều và xác định vị trí con lăn song song</x:v>
      </x:c>
      <x:c r="N20" s="24" t="str">
        <x:v>Đóng/mở hộp, đẩy con lăn đệm với lực lệch rồi sửa đều, sau đó reset về đầu</x:v>
      </x:c>
      <x:c r="O20" s="24" t="str">
        <x:v>Idea Printer đã hình thành; con lăn cân bằng ở vạch đầu; chưa tạo bản in hoàn chỉnh; chưa giải quyết</x:v>
      </x:c>
      <x:c r="P20" s="24" t="str">
        <x:v>Medium-wide front three-quarter trong xưởng; không cắt cảnh</x:v>
      </x:c>
      <x:c r="Q20" s="24" t="str">
        <x:v>Lực đều trên con lăn song song duy trì tiếp xúc toàn bề mặt; lực lệch làm một bên nhấc lên và in mờ</x:v>
      </x:c>
      <x:c r="R20" s="24" t="str">
        <x:v>Không thoại</x:v>
      </x:c>
      <x:c r="S20" s="24" t="str">
        <x:v>Tiếng nắp nhẹ; chuông cầu vồng; foam lăn; giấy trượt; ambience xưởng</x:v>
      </x:c>
      <x:c r="T20" s="24" t="str">
        <x:v>PASS — G-010/G-011/G-012/G-020/G-034/G-036/G-120; canonical two-object→one-invention signature central, Bố indispensable, mechanism clue visibly causal, child-safe, unresolved Part A.</x:v>
      </x:c>
      <x:c r="U20" s="24" t="str">
        <x:v>PASS — G-002/G-003/G-030/G-031/G-037/G-040/G-050/G-051/G-060/G-070/G-090/G-150/G-160/G-161/G-162/G-163/G-164; 320 words; zero at-sign characters.</x:v>
      </x:c>
      <x:c r="V20" s="24" t="str">
        <x:v>AI text audit only; visual/render audit not yet performed. USER APPROVAL pending.</x:v>
      </x:c>
      <x:c r="W20" s="25" t="str">
        <x:v>AI AUDITED</x:v>
      </x:c>
    </x:row>
    <x:row r="21" ht="340" customHeight="1">
      <x:c r="A21" s="58" t="str">
        <x:v>I002-S1-10B</x:v>
      </x:c>
      <x:c r="B21" s="27" t="str">
        <x:v>I-002</x:v>
      </x:c>
      <x:c r="C21" s="27" t="str">
        <x:v>Season 1</x:v>
      </x:c>
      <x:c r="D21" s="27" t="str">
        <x:v>10</x:v>
      </x:c>
      <x:c r="E21" s="27" t="str">
        <x:v>B</x:v>
      </x:c>
      <x:c r="F21" s="27" t="str">
        <x:v>Máy in ý tưởng bằng con lăn và thẻ</x:v>
      </x:c>
      <x:c r="G21" s="27" t="str">
        <x:v>Cartoon Style. Generate a 10-second, 16:9 landscape child-friendly fantasy video in Google Flow using Gemini Omni Flash, Ingredients to Video. Use the approved Meo and Bố references exactly. Meo is five, with twin low pigtails, pale yellow top and white tiered skirt. Bố is her Asian father with short black hair, small black-rimmed glasses and approved clothing.
Camera: one medium-wide continuity shot from the same front angle, keeping the Idea Printer, guide marks and blank portion of the card visible. No cuts.
Setting and opening state: the card rests beneath the foam roller at the start line. Both roller ends are aligned with equal-height guide marks. Bố holds the padded handle. Meo stands beside the two guides.
0–2s: Meo points to both equal gaps and signals Bố to keep the roller level through the whole pass. Bố centers his hands on the padded handle.
2–7s: Bố pushes the roller forward slowly while maintaining equal pressure. The enclosed print plate contacts the card evenly, revealing a crisp star-and-gear invention emblem from left to right. Meo watches both guide gaps remain equal and signals him to continue until the roller clears the final edge.
7–9s: Bố lifts only the padded handle after the roller reaches its soft stop. Meo points to the complete picture, then to the Magic Invention Box as it gives one gentle matching glow.
9–10s: the finished card shines softly. Meo says in Vietnamese, with a warm five-year-old voice and clear, delighted delivery: “Bố ơi, ý tưởng in xong rồi!” Keep the exact wording; do not translate it.
Physics: keeping the roller parallel and pressure even maintains full-surface contact, producing a uniform transfer across the card.
Audio: smooth foam roll, paper slide, soft stop tap, warm magical chime, short dialogue.
Constraints: exact A-to-B continuity; preserve identity, age and clothing; dry non-toxic magical color enclosed in print plate; soft roller; stable table; no liquid ink, sharp cutters, heat, climbing, pinching, falls, extra characters, dangerous motion, cuts or readable text.</x:v>
      </x:c>
      <x:c r="H21" s="27" t="str">
        <x:v>Áp lực tiếp xúc đều + truyền đủ bề mặt</x:v>
      </x:c>
      <x:c r="I21" s="27" t="str">
        <x:v>Tự hào và ấm áp khi cùng hoàn tất một ý tưởng phát minh</x:v>
      </x:c>
      <x:c r="J21" s="27" t="str">
        <x:v>Xưởng sáng tạo bên Magic Invention Box và bảng in phẳng</x:v>
      </x:c>
      <x:c r="K21" s="27" t="str">
        <x:v>Idea Printer đã hình thành; con lăn thẳng ở vạch đầu; Bố ở tay nắm đệm; Meo cạnh hai thanh dẫn cùng cao</x:v>
      </x:c>
      <x:c r="L21" s="27" t="str">
        <x:v>Meo hướng dẫn lực lăn đều, Bố thực hiện một lượt đầy đủ làm hiện biểu tượng phát minh sắc nét và khép season</x:v>
      </x:c>
      <x:c r="M21" s="27" t="str">
        <x:v>Theo dõi khe dẫn bằng nhau, ra hiệu lượt lăn hoàn chỉnh và kiểm tra biểu tượng đã in</x:v>
      </x:c>
      <x:c r="N21" s="27" t="str">
        <x:v>Đặt hai tay vào tâm, lăn với lực đều tới điểm dừng mềm rồi nhấc tay nắm đệm</x:v>
      </x:c>
      <x:c r="O21" s="27" t="str">
        <x:v>Biểu tượng sao-và-bánh-răng hoàn chỉnh phát sáng; Magic Invention Box sáng đồng điệu; kết thúc ấm áp</x:v>
      </x:c>
      <x:c r="P21" s="27" t="str">
        <x:v>Cùng góc medium-wide để giữ continuity; không cắt cảnh</x:v>
      </x:c>
      <x:c r="Q21" s="27" t="str">
        <x:v>Giữ con lăn song song và lực đều duy trì tiếp xúc toàn bề mặt để truyền hình đồng nhất</x:v>
      </x:c>
      <x:c r="R21" s="27" t="str">
        <x:v>Meo: “Bố ơi, ý tưởng in xong rồi!”</x:v>
      </x:c>
      <x:c r="S21" s="27" t="str">
        <x:v>Foam lăn mượt; giấy trượt; chạm điểm dừng nhẹ; chuông phép thuật ấm; thoại ngắn</x:v>
      </x:c>
      <x:c r="T21" s="27" t="str">
        <x:v>PASS — G-010/G-011/G-012/G-020/G-034/G-036/G-120; exact A→B handoff, Bố indispensable, Meo applies the observed mechanism clue and the invention resolves safely.</x:v>
      </x:c>
      <x:c r="U21" s="27" t="str">
        <x:v>PASS — G-002/G-003/G-030/G-031/G-037/G-040/G-050/G-051/G-060/G-070/G-080/G-081/G-090/G-150/G-160/G-161/G-162/G-163/G-164; 320 words; zero at-sign characters.</x:v>
      </x:c>
      <x:c r="V21" s="27" t="str">
        <x:v>AI text audit only; visual/render audit not yet performed. USER APPROVAL pending.</x:v>
      </x:c>
      <x:c r="W21" s="28" t="str">
        <x:v>AI AUDITED</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48" hidden="0" customWidth="1"/>
    <x:col min="2" max="2" width="12" hidden="0" customWidth="1"/>
    <x:col min="3" max="3" width="32" hidden="0" customWidth="1"/>
    <x:col min="4" max="4" width="10" hidden="0" customWidth="1"/>
    <x:col min="5" max="5" width="10" hidden="0" customWidth="1"/>
    <x:col min="6" max="6" width="10" hidden="0" customWidth="1"/>
    <x:col min="7" max="7" width="74" hidden="0" customWidth="1"/>
    <x:col min="8" max="8" width="38" hidden="0" customWidth="1"/>
    <x:col min="9" max="9" width="82" hidden="0" customWidth="1"/>
  </x:cols>
  <x:sheetData>
    <x:row r="1">
      <x:c r="A1" s="37" t="str">
        <x:v>file_name</x:v>
      </x:c>
      <x:c r="B1" s="56" t="str">
        <x:v>person</x:v>
      </x:c>
      <x:c r="C1" s="56" t="str">
        <x:v>role</x:v>
      </x:c>
      <x:c r="D1" s="56" t="str">
        <x:v>priority</x:v>
      </x:c>
      <x:c r="E1" s="56" t="str">
        <x:v>width</x:v>
      </x:c>
      <x:c r="F1" s="56" t="str">
        <x:v>height</x:v>
      </x:c>
      <x:c r="G1" s="56" t="str">
        <x:v>sha256</x:v>
      </x:c>
      <x:c r="H1" s="56" t="str">
        <x:v>source_original</x:v>
      </x:c>
      <x:c r="I1" s="38" t="str">
        <x:v>usage_note</x:v>
      </x:c>
    </x:row>
    <x:row r="2" ht="62" customHeight="1">
      <x:c r="A2" s="57" t="str">
        <x:v>P08-S02-MEO-PRIMARY.REFERENCE.png</x:v>
      </x:c>
      <x:c r="B2" s="24" t="str">
        <x:v>Meo</x:v>
      </x:c>
      <x:c r="C2" s="24" t="str">
        <x:v>primary_face_hair_identity_only</x:v>
      </x:c>
      <x:c r="D2" s="24" t="n">
        <x:v>1</x:v>
      </x:c>
      <x:c r="E2" s="24" t="n">
        <x:v>1122</x:v>
      </x:c>
      <x:c r="F2" s="24" t="n">
        <x:v>1402</x:v>
      </x:c>
      <x:c r="G2" s="24" t="str">
        <x:v>490EE15F72FF06D97BC0DA09DA50C9AB9390EF2F2AA97221F62F36DAE16C5026</x:v>
      </x:c>
      <x:c r="H2" s="24" t="str">
        <x:v>Input content/Meo2.png</x:v>
      </x:c>
      <x:c r="I2" s="25" t="str">
        <x:v>Identity only; ignore all visible reference clothing and accessories. New written tab wardrobe is authoritative.</x:v>
      </x:c>
    </x:row>
    <x:row r="3" ht="62" customHeight="1">
      <x:c r="A3" s="57" t="str">
        <x:v>P08-S02-MEO-SECONDARY.REFERENCE.png</x:v>
      </x:c>
      <x:c r="B3" s="24" t="str">
        <x:v>Meo</x:v>
      </x:c>
      <x:c r="C3" s="24" t="str">
        <x:v>secondary_face_identity_only</x:v>
      </x:c>
      <x:c r="D3" s="24" t="n">
        <x:v>2</x:v>
      </x:c>
      <x:c r="E3" s="24" t="n">
        <x:v>1024</x:v>
      </x:c>
      <x:c r="F3" s="24" t="n">
        <x:v>1536</x:v>
      </x:c>
      <x:c r="G3" s="24" t="str">
        <x:v>FC0E0E4FD7D6924DDDDDE03D82CF19DC68DAEF1C14DC18972F9DE781C6CCC77D</x:v>
      </x:c>
      <x:c r="H3" s="24" t="str">
        <x:v>Input content/Meo1.png</x:v>
      </x:c>
      <x:c r="I3" s="25" t="str">
        <x:v>Identity only; ignore all visible reference clothing and accessories. New written tab wardrobe is authoritative.</x:v>
      </x:c>
    </x:row>
    <x:row r="4" ht="62" customHeight="1">
      <x:c r="A4" s="57" t="str">
        <x:v>P08-S02-BO-FRONT.REFERENCE.jpg</x:v>
      </x:c>
      <x:c r="B4" s="24" t="str">
        <x:v>Bố</x:v>
      </x:c>
      <x:c r="C4" s="24" t="str">
        <x:v>primary_front_face_glasses_identity_only</x:v>
      </x:c>
      <x:c r="D4" s="24" t="n">
        <x:v>1</x:v>
      </x:c>
      <x:c r="E4" s="24" t="n">
        <x:v>556</x:v>
      </x:c>
      <x:c r="F4" s="24" t="n">
        <x:v>989</x:v>
      </x:c>
      <x:c r="G4" s="24" t="str">
        <x:v>55DC3A0675770C35466B42B8D2D2C6F2D65259E60CDA1762A8BD3312BBBF0624</x:v>
      </x:c>
      <x:c r="H4" s="24" t="str">
        <x:v>Input content/Duc1.jpg</x:v>
      </x:c>
      <x:c r="I4" s="25" t="str">
        <x:v>Identity only; ignore all visible reference clothing and accessories. New written tab wardrobe is authoritative.</x:v>
      </x:c>
    </x:row>
    <x:row r="5" ht="62" customHeight="1">
      <x:c r="A5" s="58" t="str">
        <x:v>P08-S02-BO-SIDE.REFERENCE.jpg</x:v>
      </x:c>
      <x:c r="B5" s="27" t="str">
        <x:v>Bố</x:v>
      </x:c>
      <x:c r="C5" s="27" t="str">
        <x:v>side_face_hair_glasses_identity_only</x:v>
      </x:c>
      <x:c r="D5" s="27" t="n">
        <x:v>2</x:v>
      </x:c>
      <x:c r="E5" s="27" t="n">
        <x:v>556</x:v>
      </x:c>
      <x:c r="F5" s="27" t="n">
        <x:v>989</x:v>
      </x:c>
      <x:c r="G5" s="27" t="str">
        <x:v>708022A6BF3078F2B53742C5840C693837C1705AE41606BF41FA5BE0F941F67A</x:v>
      </x:c>
      <x:c r="H5" s="27" t="str">
        <x:v>Input content/Duc2.jpg</x:v>
      </x:c>
      <x:c r="I5" s="28" t="str">
        <x:v>Identity only; ignore all visible reference clothing and accessories. New written tab wardrobe is authoritative.</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34" hidden="0" customWidth="1"/>
    <x:col min="2" max="2" width="76" hidden="0" customWidth="1"/>
    <x:col min="3" max="3" width="76" hidden="0" customWidth="1"/>
  </x:cols>
  <x:sheetData>
    <x:row r="1">
      <x:c r="A1" s="5" t="str">
        <x:v>Pilot 8 S02 Package QC</x:v>
      </x:c>
      <x:c r="B1" s="5"/>
      <x:c r="C1" s="5"/>
    </x:row>
    <x:row r="3">
      <x:c r="A3" s="74" t="str">
        <x:v>Check</x:v>
      </x:c>
      <x:c r="B3" s="75" t="str">
        <x:v>Expected</x:v>
      </x:c>
      <x:c r="C3" s="76" t="str">
        <x:v>Actual / Formula</x:v>
      </x:c>
    </x:row>
    <x:row r="4">
      <x:c r="A4" s="77" t="str">
        <x:v>Total queue jobs</x:v>
      </x:c>
      <x:c r="B4" s="78" t="n">
        <x:v>66</x:v>
      </x:c>
      <x:c r="C4" s="79" t="n">
        <x:f>COUNTA('jobs'!$B$2:$B$67)</x:f>
        <x:v>66</x:v>
      </x:c>
    </x:row>
    <x:row r="5">
      <x:c r="A5" s="77" t="str">
        <x:v>Character concepts</x:v>
      </x:c>
      <x:c r="B5" s="78" t="n">
        <x:v>6</x:v>
      </x:c>
      <x:c r="C5" s="79" t="n">
        <x:f>COUNTIF('manifest'!$C$2:$C$67,"CHARACTER_CONCEPT")</x:f>
        <x:v>6</x:v>
      </x:c>
    </x:row>
    <x:row r="6">
      <x:c r="A6" s="77" t="str">
        <x:v>Storyboard jobs</x:v>
      </x:c>
      <x:c r="B6" s="78" t="n">
        <x:v>60</x:v>
      </x:c>
      <x:c r="C6" s="79" t="n">
        <x:f>COUNTIF('manifest'!$C$2:$C$67,"STORYBOARD")</x:f>
        <x:v>60</x:v>
      </x:c>
    </x:row>
    <x:row r="7">
      <x:c r="A7" s="77" t="str">
        <x:v>Source videos</x:v>
      </x:c>
      <x:c r="B7" s="78" t="n">
        <x:v>20</x:v>
      </x:c>
      <x:c r="C7" s="79" t="n">
        <x:f>COUNTA('source_map'!$A$2:$A$21)</x:f>
        <x:v>20</x:v>
      </x:c>
    </x:row>
    <x:row r="8">
      <x:c r="A8" s="77" t="str">
        <x:v>Frames per source</x:v>
      </x:c>
      <x:c r="B8" s="78" t="n">
        <x:v>3</x:v>
      </x:c>
      <x:c r="C8" s="79" t="str">
        <x:v>All source IDs validated</x:v>
      </x:c>
    </x:row>
    <x:row r="9">
      <x:c r="A9" s="77" t="str">
        <x:v>Canonical references</x:v>
      </x:c>
      <x:c r="B9" s="78" t="n">
        <x:v>4</x:v>
      </x:c>
      <x:c r="C9" s="79" t="n">
        <x:f>COUNTA('references'!$A$2:$A$5)</x:f>
        <x:v>4</x:v>
      </x:c>
    </x:row>
    <x:row r="10">
      <x:c r="A10" s="77" t="str">
        <x:v>Manifest PASS</x:v>
      </x:c>
      <x:c r="B10" s="78" t="n">
        <x:v>66</x:v>
      </x:c>
      <x:c r="C10" s="79" t="n">
        <x:f>COUNTIF('manifest'!$N$2:$N$67,"PASS")</x:f>
        <x:v>66</x:v>
      </x:c>
    </x:row>
    <x:row r="11">
      <x:c r="A11" s="80" t="str">
        <x:v>Source SHA-256</x:v>
      </x:c>
      <x:c r="B11" s="81" t="str">
        <x:v>44E685BD43252B4196A31737CD4847EAEC3BB61D2E7A4A0552F86FD8FD0A333A</x:v>
      </x:c>
      <x:c r="C11" s="82" t="str">
        <x:v>44E685BD43252B4196A31737CD4847EAEC3BB61D2E7A4A0552F86FD8FD0A333A</x:v>
      </x:c>
    </x:row>
  </x:sheetData>
  <x:mergeCells>
    <x:mergeCell ref="A1:C1"/>
  </x:mergeCells>
  <x:pageMargins left="0.7" right="0.7" top="0.75" bottom="0.75" header="0.3" footer="0.3"/>
</x:worksheet>
</file>