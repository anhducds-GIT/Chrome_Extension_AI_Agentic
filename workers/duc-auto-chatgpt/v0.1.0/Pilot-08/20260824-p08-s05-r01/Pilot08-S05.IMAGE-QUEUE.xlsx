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1e8bdb1c92e48c2" /></Relationships>
</file>

<file path=xl/workbook.xml><?xml version="1.0" encoding="utf-8"?>
<x:workbook xmlns:x="http://schemas.openxmlformats.org/spreadsheetml/2006/main">
  <x:sheets>
    <x:sheet xmlns:r="http://schemas.openxmlformats.org/officeDocument/2006/relationships" name="jobs" sheetId="1" r:id="R2ae301b906834a75"/>
    <x:sheet xmlns:r="http://schemas.openxmlformats.org/officeDocument/2006/relationships" name="config" sheetId="2" r:id="R2e4df550c9a84416"/>
    <x:sheet xmlns:r="http://schemas.openxmlformats.org/officeDocument/2006/relationships" name="README" sheetId="3" r:id="Rb2abae803f6d4d73"/>
    <x:sheet xmlns:r="http://schemas.openxmlformats.org/officeDocument/2006/relationships" name="manifest" sheetId="4" r:id="Rbc93c5a192684d39"/>
    <x:sheet xmlns:r="http://schemas.openxmlformats.org/officeDocument/2006/relationships" name="source_map" sheetId="5" r:id="R7729603dec03460a"/>
    <x:sheet xmlns:r="http://schemas.openxmlformats.org/officeDocument/2006/relationships" name="references" sheetId="6" r:id="Rf0e09d9b885d488e"/>
    <x:sheet xmlns:r="http://schemas.openxmlformats.org/officeDocument/2006/relationships" name="QC" sheetId="7" r:id="R50d22c49ff1848a9"/>
  </x:sheets>
</x:workbook>
</file>

<file path=xl/comments1.xml><?xml version="1.0" encoding="utf-8"?>
<x:comments xmlns:x="http://schemas.openxmlformats.org/spreadsheetml/2006/main">
  <x:authors>
    <x:author>Claude</x:author>
  </x:authors>
  <x:commentList>
    <x:comment ref="A1" authorId="0">
      <x:text>
        <x:r>
          <x:t>CHỈ ĐỂ ANH DỄ ĐẾM/GỌI. Extension không đọc cột này -- đánh số sẵn, không ảnh hưởng gì đến việc chạy.</x:t>
        </x:r>
      </x:text>
    </x:comment>
    <x:comment ref="B1" authorId="0">
      <x:text>
        <x:r>
          <x:t>BẮT BUỘC. Số thứ tự hoặc tên duy nhất cho mỗi prompt (vd: 1, 2, 3... -- có thể gõ trùng số ở cột STT bên trái cho dễ nhớ). Không được trùng nhau.</x:t>
        </x:r>
      </x:text>
    </x:comment>
    <x:comment ref="C1" authorId="0">
      <x:text>
        <x:r>
          <x:t>BẮT BUỘC. Nội dung prompt bạn muốn AI vẽ. Paste thẳng vào đây.</x:t>
        </x:r>
      </x:text>
    </x:comment>
    <x:comment ref="D1" authorId="0">
      <x:text>
        <x:r>
          <x:t>KHÔNG bắt buộc. Chỉ điền nếu prompt này cần ảnh tham chiếu. Gõ đúng tên file ảnh (vd: Duc1.jpg); nhiều ảnh cách nhau bởi dấu | (vd: Duc1.jpg|Meo1.png). Để trống nếu không dùng ảnh tham chiếu.</x:t>
        </x:r>
      </x:text>
    </x:comment>
  </x:commentList>
</x:comments>
</file>

<file path=xl/comments2.xml><?xml version="1.0" encoding="utf-8"?>
<x:comments xmlns:x="http://schemas.openxmlformats.org/spreadsheetml/2006/main">
  <x:authors>
    <x:author>Claude</x:author>
  </x:authors>
  <x:commentList>
    <x:comment ref="A1" authorId="0">
      <x:text>
        <x:r>
          <x: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color theme="1"/>
      <x:name val="Calibri"/>
    </x:font>
    <x:font>
      <x:b/>
      <x:sz val="11"/>
    </x:font>
    <x:font>
      <x:b/>
      <x:sz val="11"/>
      <x:color rgb="FFFFFFFF"/>
      <x:name val="Calibri"/>
    </x:font>
    <x:font>
      <x:b/>
      <x:sz val="11"/>
      <x:color rgb="FF17365D"/>
      <x:name val="Calibri"/>
    </x:font>
    <x:font>
      <x:b/>
      <x:sz val="11"/>
      <x:color theme="1"/>
      <x:name val="Calibri"/>
    </x:font>
  </x:fonts>
  <x:fills count="7">
    <x:fill>
      <x:patternFill patternType="none"/>
    </x:fill>
    <x:fill>
      <x:patternFill patternType="gray125"/>
    </x:fill>
    <x:fill>
      <x:patternFill patternType="solid">
        <x:fgColor rgb="FFDDEBF7"/>
      </x:patternFill>
    </x:fill>
    <x:fill>
      <x:patternFill patternType="solid">
        <x:fgColor rgb="FFFFFF99"/>
      </x:patternFill>
    </x:fill>
    <x:fill>
      <x:patternFill patternType="solid">
        <x:fgColor rgb="FFE7E6E6"/>
      </x:patternFill>
    </x:fill>
    <x:fill>
      <x:patternFill patternType="solid">
        <x:fgColor rgb="FF17365D"/>
      </x:patternFill>
    </x:fill>
    <x:fill>
      <x:patternFill patternType="solid">
        <x:fgColor rgb="FFD9EAF7"/>
      </x:patternFill>
    </x:fill>
  </x:fills>
  <x:borders count="22">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DCE6F1"/>
      </x:right>
      <x:bottom style="thin">
        <x:color rgb="FFDCE6F1"/>
      </x:bottom>
    </x:border>
    <x:border>
      <x:left style="thin">
        <x:color rgb="FFDCE6F1"/>
      </x:left>
      <x:right style="thin">
        <x:color rgb="FFDCE6F1"/>
      </x:right>
      <x:bottom style="thin">
        <x:color rgb="FFDCE6F1"/>
      </x:bottom>
    </x:border>
    <x:border>
      <x:left style="thin">
        <x:color rgb="FFDCE6F1"/>
      </x:left>
      <x:bottom style="thin">
        <x:color rgb="FFDCE6F1"/>
      </x:bottom>
    </x:border>
    <x:border>
      <x:right style="thin">
        <x:color rgb="FFDCE6F1"/>
      </x:right>
      <x:top style="thin">
        <x:color rgb="FFDCE6F1"/>
      </x:top>
      <x:bottom style="thin">
        <x:color rgb="FFDCE6F1"/>
      </x:bottom>
    </x:border>
    <x:border>
      <x:left style="thin">
        <x:color rgb="FFDCE6F1"/>
      </x:left>
      <x:right style="thin">
        <x:color rgb="FFDCE6F1"/>
      </x:right>
      <x:top style="thin">
        <x:color rgb="FFDCE6F1"/>
      </x:top>
      <x:bottom style="thin">
        <x:color rgb="FFDCE6F1"/>
      </x:bottom>
    </x:border>
    <x:border>
      <x:left style="thin">
        <x:color rgb="FFDCE6F1"/>
      </x:left>
      <x:top style="thin">
        <x:color rgb="FFDCE6F1"/>
      </x:top>
      <x:bottom style="thin">
        <x:color rgb="FFDCE6F1"/>
      </x:bottom>
    </x:border>
    <x:border>
      <x:right style="thin">
        <x:color rgb="FFDCE6F1"/>
      </x:right>
      <x:top style="thin">
        <x:color rgb="FFDCE6F1"/>
      </x:top>
    </x:border>
    <x:border>
      <x:left style="thin">
        <x:color rgb="FFDCE6F1"/>
      </x:left>
      <x:right style="thin">
        <x:color rgb="FFDCE6F1"/>
      </x:right>
      <x:top style="thin">
        <x:color rgb="FFDCE6F1"/>
      </x:top>
    </x:border>
    <x:border>
      <x:left style="thin">
        <x:color rgb="FFDCE6F1"/>
      </x:left>
      <x:top style="thin">
        <x:color rgb="FFDCE6F1"/>
      </x:top>
    </x:border>
    <x:border>
      <x:right style="thin">
        <x:color rgb="FFB8CCE4"/>
      </x:right>
      <x:bottom style="thin">
        <x:color rgb="FFB8CCE4"/>
      </x:bottom>
    </x:border>
    <x:border>
      <x:left style="thin">
        <x:color rgb="FFB8CCE4"/>
      </x:left>
      <x:bottom style="thin">
        <x:color rgb="FFB8CCE4"/>
      </x:bottom>
    </x:border>
    <x:border>
      <x:right style="thin">
        <x:color rgb="FFB8CCE4"/>
      </x:right>
      <x:top style="thin">
        <x:color rgb="FFB8CCE4"/>
      </x:top>
      <x:bottom style="thin">
        <x:color rgb="FFB8CCE4"/>
      </x:bottom>
    </x:border>
    <x:border>
      <x:left style="thin">
        <x:color rgb="FFB8CCE4"/>
      </x:left>
      <x:top style="thin">
        <x:color rgb="FFB8CCE4"/>
      </x:top>
      <x:bottom style="thin">
        <x:color rgb="FFB8CCE4"/>
      </x:bottom>
    </x:border>
    <x:border>
      <x:right style="thin">
        <x:color rgb="FFB8CCE4"/>
      </x:right>
      <x:top style="thin">
        <x:color rgb="FFB8CCE4"/>
      </x:top>
    </x:border>
    <x:border>
      <x:left style="thin">
        <x:color rgb="FFB8CCE4"/>
      </x:left>
      <x:top style="thin">
        <x:color rgb="FFB8CCE4"/>
      </x:top>
    </x:border>
    <x:border>
      <x:left style="thin">
        <x:color rgb="FFB8CCE4"/>
      </x:left>
      <x:right style="thin">
        <x:color rgb="FFB8CCE4"/>
      </x:right>
      <x:bottom style="thin">
        <x:color rgb="FFB8CCE4"/>
      </x:bottom>
    </x:border>
    <x:border>
      <x:left style="thin">
        <x:color rgb="FFB8CCE4"/>
      </x:left>
      <x:right style="thin">
        <x:color rgb="FFB8CCE4"/>
      </x:right>
      <x:top style="thin">
        <x:color rgb="FFB8CCE4"/>
      </x:top>
      <x:bottom style="thin">
        <x:color rgb="FFB8CCE4"/>
      </x:bottom>
    </x:border>
    <x:border>
      <x:left style="thin">
        <x:color rgb="FFB8CCE4"/>
      </x:left>
      <x:right style="thin">
        <x:color rgb="FFB8CCE4"/>
      </x:right>
      <x:top style="thin">
        <x:color rgb="FFB8CCE4"/>
      </x:top>
    </x:border>
  </x:borders>
  <x:cellStyleXfs count="1">
    <x:xf numFmtId="0" fontId="0" fillId="0" borderId="0"/>
  </x:cellStyleXfs>
  <x:cellXfs count="83">
    <x:xf numFmtId="0" fontId="0" fillId="0" borderId="0" xfId="0"/>
    <x:xf numFmtId="0" fontId="1" fillId="2" borderId="0" xfId="0"/>
    <x:xf numFmtId="0" fontId="1" fillId="3" borderId="0" xfId="0"/>
    <x:xf numFmtId="0" fontId="1" fillId="4" borderId="0" xfId="0"/>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horizontal="center"/>
    </x:xf>
    <x:xf numFmtId="0" fontId="2" fillId="5" borderId="2" xfId="0" applyNumberFormat="1" applyFont="1" applyFill="1" applyBorder="1" applyAlignment="1">
      <x:alignment horizontal="center"/>
    </x:xf>
    <x:xf numFmtId="0" fontId="2" fillId="5" borderId="3"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2" fillId="5" borderId="2" xfId="0" applyNumberFormat="1" applyFont="1" applyFill="1" applyBorder="1" applyAlignment="1">
      <x:alignment horizontal="center" vertical="center"/>
    </x:xf>
    <x:xf numFmtId="0" fontId="2" fillId="5" borderId="3"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4" xfId="0" applyNumberFormat="1" applyFont="1" applyFill="1" applyBorder="1" applyAlignment="1">
      <x:alignment horizontal="center"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7" xfId="0" applyNumberFormat="1" applyFont="1" applyFill="1" applyBorder="1" applyAlignment="1">
      <x:alignment horizontal="center"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10" xfId="0" applyNumberFormat="1" applyFont="1" applyFill="1" applyBorder="1" applyAlignment="1">
      <x:alignment horizontal="center" vertical="top"/>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2" fillId="5" borderId="0" xfId="0" applyNumberFormat="1" applyFont="1" applyFill="1" applyBorder="1" applyAlignment="1">
      <x:alignment horizontal="center"/>
    </x:xf>
    <x:xf numFmtId="0" fontId="3" fillId="0" borderId="0" xfId="0" applyNumberFormat="1" applyFont="1" applyFill="1" applyBorder="1"/>
    <x:xf numFmtId="0" fontId="2" fillId="5" borderId="4" xfId="0" applyNumberFormat="1" applyFont="1" applyFill="1" applyBorder="1" applyAlignment="1">
      <x:alignment horizontal="center"/>
    </x:xf>
    <x:xf numFmtId="0" fontId="2" fillId="5" borderId="6" xfId="0" applyNumberFormat="1" applyFont="1" applyFill="1" applyBorder="1" applyAlignment="1">
      <x:alignment horizontal="center"/>
    </x:xf>
    <x:xf numFmtId="0" fontId="3" fillId="0" borderId="7" xfId="0" applyNumberFormat="1" applyFont="1" applyFill="1" applyBorder="1"/>
    <x:xf numFmtId="0" fontId="0" fillId="0" borderId="9" xfId="0" applyNumberFormat="1" applyFont="1" applyFill="1" applyBorder="1"/>
    <x:xf numFmtId="0" fontId="3" fillId="0" borderId="10" xfId="0" applyNumberFormat="1" applyFont="1" applyFill="1" applyBorder="1"/>
    <x:xf numFmtId="0" fontId="0" fillId="0" borderId="12" xfId="0" applyNumberFormat="1" applyFont="1" applyFill="1" applyBorder="1"/>
    <x:xf numFmtId="0" fontId="2" fillId="5" borderId="4" xfId="0" applyNumberFormat="1" applyFont="1" applyFill="1" applyBorder="1" applyAlignment="1">
      <x:alignment horizontal="center" wrapText="1"/>
    </x:xf>
    <x:xf numFmtId="0" fontId="2" fillId="5" borderId="6" xfId="0" applyNumberFormat="1" applyFont="1" applyFill="1" applyBorder="1" applyAlignment="1">
      <x:alignment horizontal="center" wrapText="1"/>
    </x:xf>
    <x:xf numFmtId="0" fontId="3"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2"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5" xfId="0" applyNumberFormat="1" applyFont="1" applyFill="1" applyBorder="1" applyAlignment="1">
      <x:alignment horizontal="center"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5" borderId="0" xfId="0" applyNumberFormat="1" applyFont="1" applyFill="1" applyBorder="1" applyAlignment="1">
      <x:alignment horizontal="center" vertical="center" wrapText="1"/>
    </x:xf>
    <x:xf numFmtId="0" fontId="2" fillId="5" borderId="4" xfId="0" applyNumberFormat="1" applyFont="1" applyFill="1" applyBorder="1" applyAlignment="1">
      <x:alignment horizontal="center" vertical="center" wrapText="1"/>
    </x:xf>
    <x:xf numFmtId="0" fontId="2" fillId="5" borderId="5" xfId="0" applyNumberFormat="1" applyFont="1" applyFill="1" applyBorder="1" applyAlignment="1">
      <x:alignment horizontal="center" vertical="center" wrapText="1"/>
    </x:xf>
    <x:xf numFmtId="0" fontId="2" fillId="5" borderId="6" xfId="0" applyNumberFormat="1" applyFont="1" applyFill="1" applyBorder="1" applyAlignment="1">
      <x:alignment horizontal="center" vertical="center" wrapText="1"/>
    </x:xf>
    <x:xf numFmtId="0" fontId="3" fillId="6" borderId="0" xfId="0" applyNumberFormat="1" applyFont="1" applyFill="1" applyBorder="1" applyAlignment="1">
      <x:alignment horizontal="center"/>
    </x:xf>
    <x:xf numFmtId="0" fontId="4" fillId="0" borderId="0" xfId="0" applyNumberFormat="1" applyFont="1" applyFill="1" applyBorder="1"/>
    <x:xf numFmtId="0" fontId="3" fillId="6" borderId="13" xfId="0" applyNumberFormat="1" applyFont="1" applyFill="1" applyBorder="1" applyAlignment="1">
      <x:alignment horizontal="center"/>
    </x:xf>
    <x:xf numFmtId="0" fontId="3" fillId="6" borderId="19" xfId="0" applyNumberFormat="1" applyFont="1" applyFill="1" applyBorder="1" applyAlignment="1">
      <x:alignment horizontal="center"/>
    </x:xf>
    <x:xf numFmtId="0" fontId="3" fillId="6" borderId="14" xfId="0" applyNumberFormat="1" applyFont="1" applyFill="1" applyBorder="1" applyAlignment="1">
      <x:alignment horizontal="center"/>
    </x:xf>
    <x:xf numFmtId="0" fontId="4" fillId="0" borderId="15" xfId="0" applyNumberFormat="1" applyFont="1" applyFill="1" applyBorder="1"/>
    <x:xf numFmtId="0" fontId="0" fillId="0" borderId="20" xfId="0" applyNumberFormat="1" applyFont="1" applyFill="1" applyBorder="1"/>
    <x:xf numFmtId="0" fontId="0" fillId="0" borderId="16" xfId="0" applyNumberFormat="1" applyFont="1" applyFill="1" applyBorder="1"/>
    <x:xf numFmtId="0" fontId="4" fillId="0" borderId="17" xfId="0" applyNumberFormat="1" applyFont="1" applyFill="1" applyBorder="1"/>
    <x:xf numFmtId="0" fontId="0" fillId="0" borderId="21" xfId="0" applyNumberFormat="1" applyFont="1" applyFill="1" applyBorder="1"/>
    <x:xf numFmtId="0" fontId="0" fillId="0" borderId="18" xfId="0" applyNumberFormat="1" applyFont="1" applyFill="1" applyBorder="1"/>
    <x:xf numFmtId="0" fontId="3" fillId="6" borderId="13" xfId="0" applyNumberFormat="1" applyFont="1" applyFill="1" applyBorder="1" applyAlignment="1">
      <x:alignment horizontal="center" wrapText="1"/>
    </x:xf>
    <x:xf numFmtId="0" fontId="3" fillId="6" borderId="19" xfId="0" applyNumberFormat="1" applyFont="1" applyFill="1" applyBorder="1" applyAlignment="1">
      <x:alignment horizontal="center" wrapText="1"/>
    </x:xf>
    <x:xf numFmtId="0" fontId="3" fillId="6" borderId="14" xfId="0" applyNumberFormat="1" applyFont="1" applyFill="1" applyBorder="1" applyAlignment="1">
      <x:alignment horizontal="center" wrapText="1"/>
    </x:xf>
    <x:xf numFmtId="0" fontId="4" fillId="0" borderId="15"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b0840b4abc9470f" /><Relationship Type="http://schemas.openxmlformats.org/officeDocument/2006/relationships/theme" Target="/xl/theme/theme1.xml" Id="R23379bbe0b2244d1" /><Relationship Type="http://schemas.openxmlformats.org/officeDocument/2006/relationships/sharedStrings" Target="/xl/sharedStrings.xml" Id="R82405c7090b14ff8" /><Relationship Type="http://schemas.openxmlformats.org/officeDocument/2006/relationships/worksheet" Target="/xl/worksheets/sheet1.xml" Id="R2ae301b906834a75" /><Relationship Type="http://schemas.openxmlformats.org/officeDocument/2006/relationships/worksheet" Target="/xl/worksheets/sheet2.xml" Id="R2e4df550c9a84416" /><Relationship Type="http://schemas.openxmlformats.org/officeDocument/2006/relationships/worksheet" Target="/xl/worksheets/sheet3.xml" Id="Rb2abae803f6d4d73" /><Relationship Type="http://schemas.openxmlformats.org/officeDocument/2006/relationships/worksheet" Target="/xl/worksheets/sheet4.xml" Id="Rbc93c5a192684d39" /><Relationship Type="http://schemas.openxmlformats.org/officeDocument/2006/relationships/worksheet" Target="/xl/worksheets/sheet5.xml" Id="R7729603dec03460a" /><Relationship Type="http://schemas.openxmlformats.org/officeDocument/2006/relationships/worksheet" Target="/xl/worksheets/sheet6.xml" Id="Rf0e09d9b885d488e" /><Relationship Type="http://schemas.openxmlformats.org/officeDocument/2006/relationships/worksheet" Target="/xl/worksheets/sheet7.xml" Id="R50d22c49ff1848a9" /><Relationship Type="http://schemas.microsoft.com/office/2017/10/relationships/person" Target="/xl/persons/person.xml" Id="Rd9a9608d50b74b2f" /></Relationships>
</file>

<file path=xl/persons/person.xml><?xml version="1.0" encoding="utf-8"?>
<xltc:personList xmlns:xltc="http://schemas.microsoft.com/office/spreadsheetml/2018/threadedcomments">
  <xltc:person displayName="Claude" id="{D3302DDB-CD9A-0F26-C107-E6A099C24251}"/>
  <xltc:person displayName="Claude" id="{D160C36F-C5FD-632B-0969-4C881E76D930}"/>
</xltc:personList>
</file>

<file path=xl/tables/table1.xml><?xml version="1.0" encoding="utf-8"?>
<x:table xmlns:x="http://schemas.openxmlformats.org/spreadsheetml/2006/main" id="1" name="S05JobsTable" displayName="S05JobsTable" ref="A1:D67" headerRowCount="1" totalsRowCount="0" totalsRowShown="0">
  <x:tableColumns count="4">
    <x:tableColumn id="1" name="stt"/>
    <x:tableColumn id="2" name="id"/>
    <x:tableColumn id="3" name="prompt"/>
    <x:tableColumn id="4" name="reference_images"/>
  </x:tableColumns>
  <x:tableStyleInfo name="TableStyleMedium2" showFirstColumn="0" showLastColumn="0" showRowStripes="1" showColumnStripes="0"/>
</x:table>
</file>

<file path=xl/tables/table2.xml><?xml version="1.0" encoding="utf-8"?>
<x:table xmlns:x="http://schemas.openxmlformats.org/spreadsheetml/2006/main" id="2" name="S05ConfigTable" displayName="S05ConfigTable" ref="A1:B18" headerRowCount="1" totalsRowCount="0" totalsRowShown="0">
  <x:tableColumns count="2">
    <x:tableColumn id="1" name="key"/>
    <x:tableColumn id="2" name="value"/>
  </x:tableColumns>
  <x:tableStyleInfo name="TableStyleMedium2" showFirstColumn="0" showLastColumn="0" showRowStripes="1" showColumnStripes="0"/>
</x:table>
</file>

<file path=xl/tables/table3.xml><?xml version="1.0" encoding="utf-8"?>
<x:table xmlns:x="http://schemas.openxmlformats.org/spreadsheetml/2006/main" id="3" name="S05ManifestTable" displayName="S05ManifestTable" ref="A1:N67" headerRowCount="1" totalsRowCount="0" totalsRowShown="0">
  <x:tableColumns count="14">
    <x:tableColumn id="1" name="sequence"/>
    <x:tableColumn id="2" name="job_id"/>
    <x:tableColumn id="3" name="phase"/>
    <x:tableColumn id="4" name="source_video_id"/>
    <x:tableColumn id="5" name="story_number"/>
    <x:tableColumn id="6" name="part"/>
    <x:tableColumn id="7" name="title"/>
    <x:tableColumn id="8" name="frame"/>
    <x:tableColumn id="9" name="frame_time"/>
    <x:tableColumn id="10" name="timing_schema"/>
    <x:tableColumn id="11" name="purpose"/>
    <x:tableColumn id="12" name="reference_images"/>
    <x:tableColumn id="13" name="expected_output_stem"/>
    <x:tableColumn id="14" name="qc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bac6218018784da0" /><Relationship Type="http://schemas.openxmlformats.org/officeDocument/2006/relationships/vmlDrawing" Target="/xl/drawings/vmldrawing.vml" Id="R062f1e29f9c34663" /><Relationship Type="http://schemas.openxmlformats.org/officeDocument/2006/relationships/table" Target="/xl/tables/table1.xml" Id="R54bd77d1037a4424" /></Relationships>
</file>

<file path=xl/worksheets/_rels/sheet2.xml.rels>&#65279;<?xml version="1.0" encoding="utf-8"?><Relationships xmlns="http://schemas.openxmlformats.org/package/2006/relationships"><Relationship Type="http://schemas.openxmlformats.org/officeDocument/2006/relationships/comments" Target="/xl/comments2.xml" Id="R24068cc389454d7e" /><Relationship Type="http://schemas.openxmlformats.org/officeDocument/2006/relationships/vmlDrawing" Target="/xl/drawings/vmldrawing2.vml" Id="R8e2d992282ad4112" /><Relationship Type="http://schemas.openxmlformats.org/officeDocument/2006/relationships/table" Target="/xl/tables/table2.xml" Id="Raa484691a35b4fc8" /></Relationships>
</file>

<file path=xl/worksheets/_rels/sheet4.xml.rels>&#65279;<?xml version="1.0" encoding="utf-8"?><Relationships xmlns="http://schemas.openxmlformats.org/package/2006/relationships"><Relationship Type="http://schemas.openxmlformats.org/officeDocument/2006/relationships/table" Target="/xl/tables/table3.xml" Id="Rb6b47ce1c7464d02"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hidden="0" customWidth="1"/>
    <x:col min="2" max="2" width="42" hidden="0" customWidth="1"/>
    <x:col min="3" max="3" width="160" hidden="0" customWidth="1"/>
    <x:col min="4" max="4" width="56" hidden="0" customWidth="1"/>
  </x:cols>
  <x:sheetData>
    <x:row r="1" ht="28" customHeight="1">
      <x:c r="A1" s="12" t="str">
        <x:v>stt</x:v>
      </x:c>
      <x:c r="B1" s="13" t="str">
        <x:v>id</x:v>
      </x:c>
      <x:c r="C1" s="13" t="str">
        <x:v>prompt</x:v>
      </x:c>
      <x:c r="D1" s="14" t="str">
        <x:v>reference_images</x:v>
      </x:c>
    </x:row>
    <x:row r="2" ht="360" customHeight="1">
      <x:c r="A2" s="20" t="n">
        <x:v>1</x:v>
      </x:c>
      <x:c r="B2" s="21" t="str">
        <x:v>P08-S05-C01-MEO-FRONT</x:v>
      </x:c>
      <x:c r="C2" s="21" t="str">
        <x:v>Create a production-ready character concept image for Meo in Pilot 8 S1_05 Dream Train.
Dreamlike cinematic 3D cartoon night-train fantasy with velvety clouds, lantern glow, rounded carriages, soft moonlit gradients, warm identity-faithful faces, and no photorealism.
Complete identity and new wardrobe lock: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Use P08-S05-MEO-PRIMARY.REFERENCE.png as primary face/hair identity and P08-S05-MEO-SECONDARY.REFERENCE.png only as secondary identity confirmation. Ignore every garment, shoe, color and accessory in both references.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Composition: one full-body standing Meo, exact straight-on front view, full feet visible, arms relaxed slightly away from torso, neutral balanced pose, friendly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2" s="22" t="str">
        <x:v>P08-S05-MEO-PRIMARY.REFERENCE.png|P08-S05-MEO-SECONDARY.REFERENCE.png</x:v>
      </x:c>
    </x:row>
    <x:row r="3" ht="360" customHeight="1">
      <x:c r="A3" s="23" t="n">
        <x:v>2</x:v>
      </x:c>
      <x:c r="B3" s="24" t="str">
        <x:v>P08-S05-C02-MEO-SIDE</x:v>
      </x:c>
      <x:c r="C3" s="24" t="str">
        <x:v>Create a production-ready character concept image for Meo in Pilot 8 S1_05 Dream Train.
Dreamlike cinematic 3D cartoon night-train fantasy with velvety clouds, lantern glow, rounded carriages, soft moonlit gradients, warm identity-faithful faces, and no photorealism.
Complete identity and new wardrobe lock: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Use P08-S05-MEO-PRIMARY.REFERENCE.png as primary identity and P08-S05-MEO-SECONDARY.REFERENCE.png as confirmation only. Ignore all reference clothing.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Composition: one full-body standing Meo in exact 90-degree left-facing side profile, full feet parallel and visible, arms slightly away from torso, neutral pose, centered. Preserve precisely the front concept identity, hairstyle,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3" s="25" t="str">
        <x:v>P08-S05-MEO-PRIMARY.REFERENCE.png|P08-S05-MEO-SECONDARY.REFERENCE.png</x:v>
      </x:c>
    </x:row>
    <x:row r="4" ht="360" customHeight="1">
      <x:c r="A4" s="23" t="n">
        <x:v>3</x:v>
      </x:c>
      <x:c r="B4" s="24" t="str">
        <x:v>P08-S05-C03-BO-FRONT</x:v>
      </x:c>
      <x:c r="C4" s="24" t="str">
        <x:v>Create a production-ready character concept image for Bố in Pilot 8 S1_05 Dream Train.
Dreamlike cinematic 3D cartoon night-train fantasy with velvety clouds, lantern glow, rounded carriages, soft moonlit gradients, warm identity-faithful faces, and no photorealism.
Complete identity and new wardrobe lock: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P08-S05-BO-FRONT.REFERENCE.jpg as primary front-face/glasses identity and P08-S05-BO-SIDE.REFERENCE.jpg for hair, profile and glasses geometry. Ignore every garment and shoe in the photos.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Composition: one full-body standing father, exact straight-on front view, full feet visible, arms relaxed slightly away from torso, natural posture, warm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4" s="25" t="str">
        <x:v>P08-S05-BO-FRONT.REFERENCE.jpg|P08-S05-BO-SIDE.REFERENCE.jpg</x:v>
      </x:c>
    </x:row>
    <x:row r="5" ht="360" customHeight="1">
      <x:c r="A5" s="23" t="n">
        <x:v>4</x:v>
      </x:c>
      <x:c r="B5" s="24" t="str">
        <x:v>P08-S05-C04-BO-SIDE</x:v>
      </x:c>
      <x:c r="C5" s="24" t="str">
        <x:v>Create a production-ready character concept image for Bố in Pilot 8 S1_05 Dream Train.
Dreamlike cinematic 3D cartoon night-train fantasy with velvety clouds, lantern glow, rounded carriages, soft moonlit gradients, warm identity-faithful faces, and no photorealism.
Complete identity and new wardrobe lock: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P08-S05-BO-FRONT.REFERENCE.jpg as primary identity and P08-S05-BO-SIDE.REFERENCE.jpg for exact profile, hair direction and glasses geometry. Ignore all reference clothing.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Composition: one full-body standing father in exact 90-degree left-facing side profile, full feet parallel and visible, arms slightly away from torso, neutral posture, centered. Preserve precisely the front concept identity, glasses,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5" s="25" t="str">
        <x:v>P08-S05-BO-FRONT.REFERENCE.jpg|P08-S05-BO-SIDE.REFERENCE.jpg</x:v>
      </x:c>
    </x:row>
    <x:row r="6" ht="360" customHeight="1">
      <x:c r="A6" s="23" t="n">
        <x:v>5</x:v>
      </x:c>
      <x:c r="B6" s="24" t="str">
        <x:v>P08-S05-C05-DUO-FRONT</x:v>
      </x:c>
      <x:c r="C6" s="24" t="str">
        <x:v>Create a production-ready two-character scale concept image for Meo and Bố in Pilot 8 S1_05 Dream Train.
Dreamlike cinematic 3D cartoon night-train fantasy with velvety clouds, lantern glow, rounded carriages, soft moonlit gradients, warm identity-faithful faces, and no photorealism.
Meo lock: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lock: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Composition: exactly two full-body characters on one ground line, straight-on, Bố left and Meo right, feet fully visible, arms relaxed, warm expressions, believable father-to-five-year-old height relationship, separated readable silhouettes.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6" s="25" t="str">
        <x:v>P08-S05-MEO-PRIMARY.REFERENCE.png|P08-S05-MEO-SECONDARY.REFERENCE.png|P08-S05-BO-FRONT.REFERENCE.jpg|P08-S05-BO-SIDE.REFERENCE.jpg</x:v>
      </x:c>
    </x:row>
    <x:row r="7" ht="360" customHeight="1">
      <x:c r="A7" s="23" t="n">
        <x:v>6</x:v>
      </x:c>
      <x:c r="B7" s="24" t="str">
        <x:v>P08-S05-C06-DUO-THREEQ</x:v>
      </x:c>
      <x:c r="C7" s="24" t="str">
        <x:v>Create a production-ready two-character relationship concept image for Meo and Bố in Pilot 8 S1_05 Dream Train.
Dreamlike cinematic 3D cartoon night-train fantasy with velvety clouds, lantern glow, rounded carriages, soft moonlit gradients, warm identity-faithful faces, and no photorealism.
Meo lock: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lock: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Composition: exactly two full-body characters in clean three-quarter view, Bố left leaning slightly toward Meo, Meo right looking up, nearest hands gently held in a calm teamwork pose, both faces readable, full feet visible, silhouettes separated, front-lineup scale preserved.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7" s="25" t="str">
        <x:v>P08-S05-MEO-PRIMARY.REFERENCE.png|P08-S05-MEO-SECONDARY.REFERENCE.png|P08-S05-BO-FRONT.REFERENCE.jpg|P08-S05-BO-SIDE.REFERENCE.jpg</x:v>
      </x:c>
    </x:row>
    <x:row r="8" ht="430" customHeight="1">
      <x:c r="A8" s="23" t="n">
        <x:v>7</x:v>
      </x:c>
      <x:c r="B8" s="24" t="str">
        <x:v>P08-S05-I005-S1-01A-F01</x:v>
      </x:c>
      <x:c r="C8" s="24" t="str">
        <x:v>Create a storyboard concept still for Pilot 8 source video I005-S1-01A, story 1A,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has stopped beside Cloud Carousel Station, a bright dream world of soft cloud platforms circling a golden station post. One low cloud platform repeatedly passes the train-door threshold.
Exact frozen source action: Bố slides the padded train door fully open and holds the side rail. Meo watches the nearest cloud platform drift past the doorway and continue around the station.
Show the opening physical state and every prop needed for the coming cause-and-effect.
Camera adapted from the approved moving shot into one readable still: one medium-wide three-quarter shot from inside the Dream Train toward its open door and the cloud station outside. No cuts.
Visible physics/mechanism: the platform follows a repeating circular path at steady speed; successful docking depends on extending the bridge when the platform reaches the doorway phase.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8" s="25" t="str">
        <x:v>P08-S05-MEO-PRIMARY.REFERENCE.png|P08-S05-MEO-SECONDARY.REFERENCE.png|P08-S05-BO-FRONT.REFERENCE.jpg|P08-S05-BO-SIDE.REFERENCE.jpg</x:v>
      </x:c>
    </x:row>
    <x:row r="9" ht="430" customHeight="1">
      <x:c r="A9" s="23" t="n">
        <x:v>8</x:v>
      </x:c>
      <x:c r="B9" s="24" t="str">
        <x:v>P08-S05-I005-S1-01A-F02</x:v>
      </x:c>
      <x:c r="C9" s="24" t="str">
        <x:v>Create a storyboard concept still for Pilot 8 source video I005-S1-01A, story 1A,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has stopped beside Cloud Carousel Station, a bright dream world of soft cloud platforms circling a golden station post. One low cloud platform repeatedly passes the train-door threshold.
Exact frozen source action: Bố operates a low docking lever once too early. A soft bridge tongue extends, but the cloud platform has already moved beyond it, so he retracts the tongue immediately. Meo watches the platform complete another circle and notices three star markers on the station post: far, near, and doorway. She compares the platform position with the repeating markers while Bố keeps the doorway clear.
Freeze the clearest readable instant of the approved causal mechanism, with Meo's observation and Bố's indispensable physical action visible together.
Camera adapted from the approved moving shot into one readable still: one medium-wide three-quarter shot from inside the Dream Train toward its open door and the cloud station outside. No cuts.
Visible physics/mechanism: the platform follows a repeating circular path at steady speed; successful docking depends on extending the bridge when the platform reaches the doorway phase.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9" s="25" t="str">
        <x:v>P08-S05-MEO-PRIMARY.REFERENCE.png|P08-S05-MEO-SECONDARY.REFERENCE.png|P08-S05-BO-FRONT.REFERENCE.jpg|P08-S05-BO-SIDE.REFERENCE.jpg</x:v>
      </x:c>
    </x:row>
    <x:row r="10" ht="430" customHeight="1">
      <x:c r="A10" s="23" t="n">
        <x:v>9</x:v>
      </x:c>
      <x:c r="B10" s="24" t="str">
        <x:v>P08-S05-I005-S1-01A-F03</x:v>
      </x:c>
      <x:c r="C10" s="24" t="str">
        <x:v>Create a storyboard concept still for Pilot 8 source video I005-S1-01A, story 1A,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has stopped beside Cloud Carousel Station, a bright dream world of soft cloud platforms circling a golden station post. One low cloud platform repeatedly passes the train-door threshold.
Exact frozen source action: as the platform reaches the near marker again, Meo points to the doorway star and signals Bố to wait one more beat before using the lever. the cloud platform approaches the doorway star but has not aligned yet. End unresolved.
Keep the approved Part A result visibly unresolved; do not solve it early.
Camera adapted from the approved moving shot into one readable still: one medium-wide three-quarter shot from inside the Dream Train toward its open door and the cloud station outside. No cuts.
Visible physics/mechanism: the platform follows a repeating circular path at steady speed; successful docking depends on extending the bridge when the platform reaches the doorway phase.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0" s="25" t="str">
        <x:v>P08-S05-MEO-PRIMARY.REFERENCE.png|P08-S05-MEO-SECONDARY.REFERENCE.png|P08-S05-BO-FRONT.REFERENCE.jpg|P08-S05-BO-SIDE.REFERENCE.jpg</x:v>
      </x:c>
    </x:row>
    <x:row r="11" ht="430" customHeight="1">
      <x:c r="A11" s="23" t="n">
        <x:v>10</x:v>
      </x:c>
      <x:c r="B11" s="24" t="str">
        <x:v>P08-S05-I005-S1-01B-F01</x:v>
      </x:c>
      <x:c r="C11" s="24" t="str">
        <x:v>Create a storyboard concept still for Pilot 8 source video I005-S1-01B, story 1B,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Cloud Carousel Station remains outside. The cloud platform approaches the doorway star. Bố holds the padded side rail and docking lever. Meo stands safely inside beside the three station markers.
Exact frozen source action: Meo watches the moving platform cross the near marker and points to the doorway star, signaling Bố to wait until both positions match.
Show the opening physical state and every prop needed for the coming cause-and-effect.
Camera adapted from the approved moving shot into one readable still: one medium-wide continuity shot from the same Dream Train doorway angle, keeping the doorway star, docking lever and approaching cloud platform visible. No cuts.
Visible physics/mechanism: steady periodic motion lets Meo predict when the platform will reach the same phase; timed bridge extension creates a clean docking overlap.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1" s="25" t="str">
        <x:v>P08-S05-MEO-PRIMARY.REFERENCE.png|P08-S05-MEO-SECONDARY.REFERENCE.png|P08-S05-BO-FRONT.REFERENCE.jpg|P08-S05-BO-SIDE.REFERENCE.jpg</x:v>
      </x:c>
    </x:row>
    <x:row r="12" ht="430" customHeight="1">
      <x:c r="A12" s="23" t="n">
        <x:v>11</x:v>
      </x:c>
      <x:c r="B12" s="24" t="str">
        <x:v>P08-S05-I005-S1-01B-F02</x:v>
      </x:c>
      <x:c r="C12" s="24" t="str">
        <x:v>Create a storyboard concept still for Pilot 8 source video I005-S1-01B, story 1B,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Cloud Carousel Station remains outside. The cloud platform approaches the doorway star. Bố holds the padded side rail and docking lever. Meo stands safely inside beside the three station markers.
Exact frozen source action: the platform reaches the doorway star. Meo signals now. Bố pulls the docking lever; the soft bridge tongue extends exactly as the platform arrives, resting on its padded docking edge. The platform continues and settles against the station stop. Meo checks that the doorway star and platform star are aligned.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angle, keeping the doorway star, docking lever and approaching cloud platform visible. No cuts.
Visible physics/mechanism: steady periodic motion lets Meo predict when the platform will reach the same phase; timed bridge extension creates a clean docking overlap.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2" s="25" t="str">
        <x:v>P08-S05-MEO-PRIMARY.REFERENCE.png|P08-S05-MEO-SECONDARY.REFERENCE.png|P08-S05-BO-FRONT.REFERENCE.jpg|P08-S05-BO-SIDE.REFERENCE.jpg</x:v>
      </x:c>
    </x:row>
    <x:row r="13" ht="430" customHeight="1">
      <x:c r="A13" s="23" t="n">
        <x:v>12</x:v>
      </x:c>
      <x:c r="B13" s="24" t="str">
        <x:v>P08-S05-I005-S1-01B-F03</x:v>
      </x:c>
      <x:c r="C13" s="24" t="str">
        <x:v>Create a storyboard concept still for Pilot 8 source video I005-S1-01B, story 1B,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Cloud Carousel Station remains outside. The cloud platform approaches the doorway star. Bố holds the padded side rail and docking lever. Meo stands safely inside beside the three station markers.
Exact frozen source action: Bố locks the docking lever into a soft catch and keeps one hand on the rail while the cloud bridge glows steadily. the train door frames the bright cloud world. Meo says in Vietnamese, with a warm five-year-old voice and clear, delighted delivery: “Bố ơi, ga mây tới rồi!” Keep the exact wording; do not translate it.
Show the approved Part B resolution and warm father-daughter closure without rendering dialogue as text.
Camera adapted from the approved moving shot into one readable still: one medium-wide continuity shot from the same Dream Train doorway angle, keeping the doorway star, docking lever and approaching cloud platform visible. No cuts.
Visible physics/mechanism: steady periodic motion lets Meo predict when the platform will reach the same phase; timed bridge extension creates a clean docking overlap.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3" s="25" t="str">
        <x:v>P08-S05-MEO-PRIMARY.REFERENCE.png|P08-S05-MEO-SECONDARY.REFERENCE.png|P08-S05-BO-FRONT.REFERENCE.jpg|P08-S05-BO-SIDE.REFERENCE.jpg</x:v>
      </x:c>
    </x:row>
    <x:row r="14" ht="430" customHeight="1">
      <x:c r="A14" s="23" t="n">
        <x:v>13</x:v>
      </x:c>
      <x:c r="B14" s="24" t="str">
        <x:v>P08-S05-I005-S1-02A-F01</x:v>
      </x:c>
      <x:c r="C14" s="24" t="str">
        <x:v>Create a storyboard concept still for Pilot 8 source video I005-S1-02A, story 2A,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turquoise dream river. A small enclosed floating dock with glowing lantern rails is tethered to the station. A padded rudder handle sits beside Bố; Meo remains on the train-side platform.
Exact frozen source action: Bố opens the train door and holds the rail as the floating dock drifts slightly downstream, leaving its padded nose offset from the doorway.
Show the opening physical state and every prop needed for the coming cause-and-effect.
Camera adapted from the approved moving shot into one readable still: one medium-wide side shot from the Dream Train doorway toward River Lantern Station. No cuts.
Visible physics/mechanism: the river current provides forward motion while the angled rudder redirects water flow, producing a turning force that changes the dock’s heading.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4" s="25" t="str">
        <x:v>P08-S05-MEO-PRIMARY.REFERENCE.png|P08-S05-MEO-SECONDARY.REFERENCE.png|P08-S05-BO-FRONT.REFERENCE.jpg|P08-S05-BO-SIDE.REFERENCE.jpg</x:v>
      </x:c>
    </x:row>
    <x:row r="15" ht="430" customHeight="1">
      <x:c r="A15" s="23" t="n">
        <x:v>14</x:v>
      </x:c>
      <x:c r="B15" s="24" t="str">
        <x:v>P08-S05-I005-S1-02A-F02</x:v>
      </x:c>
      <x:c r="C15" s="24" t="str">
        <x:v>Create a storyboard concept still for Pilot 8 source video I005-S1-02A, story 2A,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turquoise dream river. A small enclosed floating dock with glowing lantern rails is tethered to the station. A padded rudder handle sits beside Bố; Meo remains on the train-side platform.
Exact frozen source action: Bố turns the broad rudder handle left while the gentle current pushes the dock forward. The nose angles farther away. He centers the rudder, then turns it right; the dock begins curving back toward the doorway line. Meo compares the fixed doorway star with the glowing star on the dock nose and notices that the rudder changes the direction of the dock’s travel through the current.
Freeze the clearest readable instant of the approved causal mechanism, with Meo's observation and Bố's indispensable physical action visible together.
Camera adapted from the approved moving shot into one readable still: one medium-wide side shot from the Dream Train doorway toward River Lantern Station. No cuts.
Visible physics/mechanism: the river current provides forward motion while the angled rudder redirects water flow, producing a turning force that changes the dock’s heading.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5" s="25" t="str">
        <x:v>P08-S05-MEO-PRIMARY.REFERENCE.png|P08-S05-MEO-SECONDARY.REFERENCE.png|P08-S05-BO-FRONT.REFERENCE.jpg|P08-S05-BO-SIDE.REFERENCE.jpg</x:v>
      </x:c>
    </x:row>
    <x:row r="16" ht="430" customHeight="1">
      <x:c r="A16" s="23" t="n">
        <x:v>15</x:v>
      </x:c>
      <x:c r="B16" s="24" t="str">
        <x:v>P08-S05-I005-S1-02A-F03</x:v>
      </x:c>
      <x:c r="C16" s="24" t="str">
        <x:v>Create a storyboard concept still for Pilot 8 source video I005-S1-02A, story 2A,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turquoise dream river. A small enclosed floating dock with glowing lantern rails is tethered to the station. A padded rudder handle sits beside Bố; Meo remains on the train-side platform.
Exact frozen source action: Meo points right, then traces a curved route from the dock star toward the doorway star. Bố keeps the rudder at that angle and holds before the dock finishes the turn. the dock is closer but still slightly offset from the train door. End unresolved.
Keep the approved Part A result visibly unresolved; do not solve it early.
Camera adapted from the approved moving shot into one readable still: one medium-wide side shot from the Dream Train doorway toward River Lantern Station. No cuts.
Visible physics/mechanism: the river current provides forward motion while the angled rudder redirects water flow, producing a turning force that changes the dock’s heading.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6" s="25" t="str">
        <x:v>P08-S05-MEO-PRIMARY.REFERENCE.png|P08-S05-MEO-SECONDARY.REFERENCE.png|P08-S05-BO-FRONT.REFERENCE.jpg|P08-S05-BO-SIDE.REFERENCE.jpg</x:v>
      </x:c>
    </x:row>
    <x:row r="17" ht="430" customHeight="1">
      <x:c r="A17" s="23" t="n">
        <x:v>16</x:v>
      </x:c>
      <x:c r="B17" s="24" t="str">
        <x:v>P08-S05-I005-S1-02B-F01</x:v>
      </x:c>
      <x:c r="C17" s="24" t="str">
        <x:v>Create a storyboard concept still for Pilot 8 source video I005-S1-02B, story 2B,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tethered lantern dock is close to the train but still slightly offset. Its nose star is curving toward the doorway star. Bố holds the broad padded rudder handle. Meo stands safely on the train-side platform beside the alignment marks.
Exact frozen source action: Meo points along the final curved path and signals Bố to keep the same rudder angle.
Show the opening physical state and every prop needed for the coming cause-and-effect.
Camera adapted from the approved moving shot into one readable still: one medium-wide continuity shot from the same Dream Train doorway toward River Lantern Station. No cuts.
Visible physics/mechanism: an angled rudder redirects water flow and turns the moving dock; centering the rudder removes the turning force so the current carries it straight into alignment.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7" s="25" t="str">
        <x:v>P08-S05-MEO-PRIMARY.REFERENCE.png|P08-S05-MEO-SECONDARY.REFERENCE.png|P08-S05-BO-FRONT.REFERENCE.jpg|P08-S05-BO-SIDE.REFERENCE.jpg</x:v>
      </x:c>
    </x:row>
    <x:row r="18" ht="430" customHeight="1">
      <x:c r="A18" s="23" t="n">
        <x:v>17</x:v>
      </x:c>
      <x:c r="B18" s="24" t="str">
        <x:v>P08-S05-I005-S1-02B-F02</x:v>
      </x:c>
      <x:c r="C18" s="24" t="str">
        <x:v>Create a storyboard concept still for Pilot 8 source video I005-S1-02B, story 2B,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tethered lantern dock is close to the train but still slightly offset. Its nose star is curving toward the doorway star. Bố holds the broad padded rudder handle. Meo stands safely on the train-side platform beside the alignment marks.
Exact frozen source action: Bố holds the rudder steady while the current carries the dock forward. The nose turns until its glowing star aligns with the train-door star. Meo signals center. Bố returns the rudder to its neutral mark; the turning stops and the tethered dock glides straight into the padded station bumper.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toward River Lantern Station. No cuts.
Visible physics/mechanism: an angled rudder redirects water flow and turns the moving dock; centering the rudder removes the turning force so the current carries it straight into alignment.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8" s="25" t="str">
        <x:v>P08-S05-MEO-PRIMARY.REFERENCE.png|P08-S05-MEO-SECONDARY.REFERENCE.png|P08-S05-BO-FRONT.REFERENCE.jpg|P08-S05-BO-SIDE.REFERENCE.jpg</x:v>
      </x:c>
    </x:row>
    <x:row r="19" ht="430" customHeight="1">
      <x:c r="A19" s="23" t="n">
        <x:v>18</x:v>
      </x:c>
      <x:c r="B19" s="24" t="str">
        <x:v>P08-S05-I005-S1-02B-F03</x:v>
      </x:c>
      <x:c r="C19" s="24" t="str">
        <x:v>Create a storyboard concept still for Pilot 8 source video I005-S1-02B, story 2B,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tethered lantern dock is close to the train but still slightly offset. Its nose star is curving toward the doorway star. Bố holds the broad padded rudder handle. Meo stands safely on the train-side platform beside the alignment marks.
Exact frozen source action: Bố secures the rudder in a soft center notch and engages the low docking catch. The lantern rails brighten while Meo checks the two aligned stars. the open train door reveals the calm turquoise river and glowing dock. Meo says in Vietnamese, with a warm five-year-old voice and clear, delighted delivery: “Bố ơi, thuyền ga thẳng rồi!” Keep the exact wording; do not translate it.
Show the approved Part B resolution and warm father-daughter closure without rendering dialogue as text.
Camera adapted from the approved moving shot into one readable still: one medium-wide continuity shot from the same Dream Train doorway toward River Lantern Station. No cuts.
Visible physics/mechanism: an angled rudder redirects water flow and turns the moving dock; centering the rudder removes the turning force so the current carries it straight into alignment.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9" s="25" t="str">
        <x:v>P08-S05-MEO-PRIMARY.REFERENCE.png|P08-S05-MEO-SECONDARY.REFERENCE.png|P08-S05-BO-FRONT.REFERENCE.jpg|P08-S05-BO-SIDE.REFERENCE.jpg</x:v>
      </x:c>
    </x:row>
    <x:row r="20" ht="430" customHeight="1">
      <x:c r="A20" s="23" t="n">
        <x:v>19</x:v>
      </x:c>
      <x:c r="B20" s="24" t="str">
        <x:v>P08-S05-I005-S1-03A-F01</x:v>
      </x:c>
      <x:c r="C20" s="24" t="str">
        <x:v>Create a storyboard concept still for Pilot 8 source video I005-S1-03A, story 3A,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garden of translucent jelly flowers. A low path is blocked by one soft circular jelly panel in a padded frame. The panel can flex inward or outward but remains attached.
Exact frozen source action: Bố opens the train door and places both hands on a broad padded press bar connected to the jelly panel. Meo watches the panel bulge outward across the path.
Show the opening physical state and every prop needed for the coming cause-and-effect.
Camera adapted from the approved moving shot into one readable still: one medium-wide three-quarter shot from the Dream Train doorway toward Jelly Garden Station. No cuts.
Visible physics/mechanism: the flexible panel has two stable curved shapes; small edge force deforms locally, while centered force past a threshold triggers snap-through into the opposite stable shape.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0" s="25" t="str">
        <x:v>P08-S05-MEO-PRIMARY.REFERENCE.png|P08-S05-MEO-SECONDARY.REFERENCE.png|P08-S05-BO-FRONT.REFERENCE.jpg|P08-S05-BO-SIDE.REFERENCE.jpg</x:v>
      </x:c>
    </x:row>
    <x:row r="21" ht="430" customHeight="1">
      <x:c r="A21" s="23" t="n">
        <x:v>20</x:v>
      </x:c>
      <x:c r="B21" s="24" t="str">
        <x:v>P08-S05-I005-S1-03A-F02</x:v>
      </x:c>
      <x:c r="C21" s="24" t="str">
        <x:v>Create a storyboard concept still for Pilot 8 source video I005-S1-03A, story 3A,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garden of translucent jelly flowers. A low path is blocked by one soft circular jelly panel in a padded frame. The panel can flex inward or outward but remains attached.
Exact frozen source action: Bố presses lightly near one edge. The panel dents but springs back to the same outward curve. He presses closer to the center with slightly more even force; the whole membrane flattens and almost snaps inward, but springs back outward because the marked threshold was not crossed. Meo compares the edge dent with the centered full-panel movement and notices a glowing center ring that brightens just before the shape changes.
Freeze the clearest readable instant of the approved causal mechanism, with Meo's observation and Bố's indispensable physical action visible together.
Camera adapted from the approved moving shot into one readable still: one medium-wide three-quarter shot from the Dream Train doorway toward Jelly Garden Station. No cuts.
Visible physics/mechanism: the flexible panel has two stable curved shapes; small edge force deforms locally, while centered force past a threshold triggers snap-through into the opposite stable shape.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1" s="25" t="str">
        <x:v>P08-S05-MEO-PRIMARY.REFERENCE.png|P08-S05-MEO-SECONDARY.REFERENCE.png|P08-S05-BO-FRONT.REFERENCE.jpg|P08-S05-BO-SIDE.REFERENCE.jpg</x:v>
      </x:c>
    </x:row>
    <x:row r="22" ht="430" customHeight="1">
      <x:c r="A22" s="23" t="n">
        <x:v>21</x:v>
      </x:c>
      <x:c r="B22" s="24" t="str">
        <x:v>P08-S05-I005-S1-03A-F03</x:v>
      </x:c>
      <x:c r="C22" s="24" t="str">
        <x:v>Create a storyboard concept still for Pilot 8 source video I005-S1-03A, story 3A,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garden of translucent jelly flowers. A low path is blocked by one soft circular jelly panel in a padded frame. The panel can flex inward or outward but remains attached.
Exact frozen source action: Meo points to the center ring and signals Bố to press straight through the middle until the panel crosses the marked line. Bố centers the press bar and holds just before the marked snap line; the path is still blocked. End unresolved.
Keep the approved Part A result visibly unresolved; do not solve it early.
Camera adapted from the approved moving shot into one readable still: one medium-wide three-quarter shot from the Dream Train doorway toward Jelly Garden Station. No cuts.
Visible physics/mechanism: the flexible panel has two stable curved shapes; small edge force deforms locally, while centered force past a threshold triggers snap-through into the opposite stable shape.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2" s="25" t="str">
        <x:v>P08-S05-MEO-PRIMARY.REFERENCE.png|P08-S05-MEO-SECONDARY.REFERENCE.png|P08-S05-BO-FRONT.REFERENCE.jpg|P08-S05-BO-SIDE.REFERENCE.jpg</x:v>
      </x:c>
    </x:row>
    <x:row r="23" ht="430" customHeight="1">
      <x:c r="A23" s="23" t="n">
        <x:v>22</x:v>
      </x:c>
      <x:c r="B23" s="24" t="str">
        <x:v>P08-S05-I005-S1-03B-F01</x:v>
      </x:c>
      <x:c r="C23" s="24" t="str">
        <x:v>Create a storyboard concept still for Pilot 8 source video I005-S1-03B, story 3B,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soft jelly panel still bulges outward across the low path. Bố holds the padded press bar centered on the glowing ring, just before the marked snap line. Meo stands safely beside the frame.
Exact frozen source action: Meo points to the center ring and then to the snap mark, signaling Bố to continue straight through the middle.
Show the opening physical state and every prop needed for the coming cause-and-effect.
Camera adapted from the approved moving shot into one readable still: one medium-wide continuity shot from the same Dream Train doorway toward Jelly Garden Station, keeping the panel center ring and press bar visible. No cuts.
Visible physics/mechanism: crossing the centered force threshold makes the bistable membrane snap into its second stable curvature; the catch holds the open state.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3" s="25" t="str">
        <x:v>P08-S05-MEO-PRIMARY.REFERENCE.png|P08-S05-MEO-SECONDARY.REFERENCE.png|P08-S05-BO-FRONT.REFERENCE.jpg|P08-S05-BO-SIDE.REFERENCE.jpg</x:v>
      </x:c>
    </x:row>
    <x:row r="24" ht="430" customHeight="1">
      <x:c r="A24" s="23" t="n">
        <x:v>23</x:v>
      </x:c>
      <x:c r="B24" s="24" t="str">
        <x:v>P08-S05-I005-S1-03B-F02</x:v>
      </x:c>
      <x:c r="C24" s="24" t="str">
        <x:v>Create a storyboard concept still for Pilot 8 source video I005-S1-03B, story 3B,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soft jelly panel still bulges outward across the low path. Bố holds the padded press bar centered on the glowing ring, just before the marked snap line. Meo stands safely beside the frame.
Exact frozen source action: Bố presses the bar slowly and evenly. The attached membrane flattens, reaches the marked threshold, then flips inward as one smooth piece with a pop. Meo watches the panel change from outward-curved to inward-curved and signals stop. The opening beside the train door becomes clear without any loose pieces.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toward Jelly Garden Station, keeping the panel center ring and press bar visible. No cuts.
Visible physics/mechanism: crossing the centered force threshold makes the bistable membrane snap into its second stable curvature; the catch holds the open state.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4" s="25" t="str">
        <x:v>P08-S05-MEO-PRIMARY.REFERENCE.png|P08-S05-MEO-SECONDARY.REFERENCE.png|P08-S05-BO-FRONT.REFERENCE.jpg|P08-S05-BO-SIDE.REFERENCE.jpg</x:v>
      </x:c>
    </x:row>
    <x:row r="25" ht="430" customHeight="1">
      <x:c r="A25" s="23" t="n">
        <x:v>24</x:v>
      </x:c>
      <x:c r="B25" s="24" t="str">
        <x:v>P08-S05-I005-S1-03B-F03</x:v>
      </x:c>
      <x:c r="C25" s="24" t="str">
        <x:v>Create a storyboard concept still for Pilot 8 source video I005-S1-03B, story 3B,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soft jelly panel still bulges outward across the low path. Bố holds the padded press bar centered on the glowing ring, just before the marked snap line. Meo stands safely beside the frame.
Exact frozen source action: Bố seats the press bar in a soft holding catch so the panel stays in its inward stable shape. Meo checks the open path and the now-dark center ring. the jelly flowers around the station glow softly. Meo says in Vietnamese, with a warm five-year-old voice and clear, delighted delivery: “Bố ơi, cổng thạch mở rồi!” Keep the exact wording; do not translate it.
Show the approved Part B resolution and warm father-daughter closure without rendering dialogue as text.
Camera adapted from the approved moving shot into one readable still: one medium-wide continuity shot from the same Dream Train doorway toward Jelly Garden Station, keeping the panel center ring and press bar visible. No cuts.
Visible physics/mechanism: crossing the centered force threshold makes the bistable membrane snap into its second stable curvature; the catch holds the open state.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5" s="25" t="str">
        <x:v>P08-S05-MEO-PRIMARY.REFERENCE.png|P08-S05-MEO-SECONDARY.REFERENCE.png|P08-S05-BO-FRONT.REFERENCE.jpg|P08-S05-BO-SIDE.REFERENCE.jpg</x:v>
      </x:c>
    </x:row>
    <x:row r="26" ht="430" customHeight="1">
      <x:c r="A26" s="23" t="n">
        <x:v>25</x:v>
      </x:c>
      <x:c r="B26" s="24" t="str">
        <x:v>P08-S05-I005-S1-04A-F01</x:v>
      </x:c>
      <x:c r="C26" s="24" t="str">
        <x:v>Create a storyboard concept still for Pilot 8 source video I005-S1-04A, story 4A,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golden dream desert. A shallow enclosed sand tray forms the station entrance. Glowing star-sand piles against a low gate, hiding a blue route mark. Bố holds a broad padded tilt handle attached to the tray; Meo watches through a clear side wall.
Exact frozen source action: Bố opens the train door and gently raises one side of the tray. The sand slope steepens and a stream slides down, covering more of the route mark.
Show the opening physical state and every prop needed for the coming cause-and-effect.
Camera adapted from the approved moving shot into one readable still: one medium-wide side shot from the Dream Train doorway toward Star-Sand Station. No cuts.
Visible physics/mechanism: dry grains slide when the surface becomes steeper than their stable angle of repose; reducing the tray angle lets friction between grains hold the slope.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6" s="25" t="str">
        <x:v>P08-S05-MEO-PRIMARY.REFERENCE.png|P08-S05-MEO-SECONDARY.REFERENCE.png|P08-S05-BO-FRONT.REFERENCE.jpg|P08-S05-BO-SIDE.REFERENCE.jpg</x:v>
      </x:c>
    </x:row>
    <x:row r="27" ht="430" customHeight="1">
      <x:c r="A27" s="23" t="n">
        <x:v>26</x:v>
      </x:c>
      <x:c r="B27" s="24" t="str">
        <x:v>P08-S05-I005-S1-04A-F02</x:v>
      </x:c>
      <x:c r="C27" s="24" t="str">
        <x:v>Create a storyboard concept still for Pilot 8 source video I005-S1-04A, story 4A,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golden dream desert. A shallow enclosed sand tray forms the station entrance. Glowing star-sand piles against a low gate, hiding a blue route mark. Bố holds a broad padded tilt handle attached to the tray; Meo watches through a clear side wall.
Exact frozen source action: Bố lowers the tray slightly. The sliding slows. He lowers it farther until the grains stop and settle. Meo compares the steep moving pile with the shallower stable pile and notices a row of angle marks on the side wall. Above the red mark grains avalanche; below it the surface stays still.
Freeze the clearest readable instant of the approved causal mechanism, with Meo's observation and Bố's indispensable physical action visible together.
Camera adapted from the approved moving shot into one readable still: one medium-wide side shot from the Dream Train doorway toward Star-Sand Station. No cuts.
Visible physics/mechanism: dry grains slide when the surface becomes steeper than their stable angle of repose; reducing the tray angle lets friction between grains hold the slope.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7" s="25" t="str">
        <x:v>P08-S05-MEO-PRIMARY.REFERENCE.png|P08-S05-MEO-SECONDARY.REFERENCE.png|P08-S05-BO-FRONT.REFERENCE.jpg|P08-S05-BO-SIDE.REFERENCE.jpg</x:v>
      </x:c>
    </x:row>
    <x:row r="28" ht="430" customHeight="1">
      <x:c r="A28" s="23" t="n">
        <x:v>27</x:v>
      </x:c>
      <x:c r="B28" s="24" t="str">
        <x:v>P08-S05-I005-S1-04A-F03</x:v>
      </x:c>
      <x:c r="C28" s="24" t="str">
        <x:v>Create a storyboard concept still for Pilot 8 source video I005-S1-04A, story 4A,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golden dream desert. A shallow enclosed sand tray forms the station entrance. Glowing star-sand piles against a low gate, hiding a blue route mark. Bố holds a broad padded tilt handle attached to the tray; Meo watches through a clear side wall.
Exact frozen source action: Meo points just below the red angle mark and traces the settled sand line away from the hidden blue route. Bố adjusts toward that angle and holds before the sand fully clears. the blue route mark is partly visible but still covered at one end. End unresolved.
Keep the approved Part A result visibly unresolved; do not solve it early.
Camera adapted from the approved moving shot into one readable still: one medium-wide side shot from the Dream Train doorway toward Star-Sand Station. No cuts.
Visible physics/mechanism: dry grains slide when the surface becomes steeper than their stable angle of repose; reducing the tray angle lets friction between grains hold the slope.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8" s="25" t="str">
        <x:v>P08-S05-MEO-PRIMARY.REFERENCE.png|P08-S05-MEO-SECONDARY.REFERENCE.png|P08-S05-BO-FRONT.REFERENCE.jpg|P08-S05-BO-SIDE.REFERENCE.jpg</x:v>
      </x:c>
    </x:row>
    <x:row r="29" ht="430" customHeight="1">
      <x:c r="A29" s="23" t="n">
        <x:v>28</x:v>
      </x:c>
      <x:c r="B29" s="24" t="str">
        <x:v>P08-S05-I005-S1-04B-F01</x:v>
      </x:c>
      <x:c r="C29" s="24" t="str">
        <x:v>Create a storyboard concept still for Pilot 8 source video I005-S1-04B, story 4B,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enclosed star-sand tray is held near the stable angle. The blue route mark is partly visible, one end still covered. Bố holds the padded tilt handle. Meo stands beside the clear side wall.
Exact frozen source action: Meo points to the mark just below the red line and signals Bố to lower the tray a little more.
Show the opening physical state and every prop needed for the coming cause-and-effect.
Camera adapted from the approved moving shot into one readable still: one medium-wide continuity shot from the same Dream Train doorway toward Star-Sand Station, keeping the side angle marks and blue route visible. No cuts.
Visible physics/mechanism: lowering the surface below the sand’s angle of repose allows grain friction to balance gravity, stopping the slide and preserving the cleared route.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9" s="25" t="str">
        <x:v>P08-S05-MEO-PRIMARY.REFERENCE.png|P08-S05-MEO-SECONDARY.REFERENCE.png|P08-S05-BO-FRONT.REFERENCE.jpg|P08-S05-BO-SIDE.REFERENCE.jpg</x:v>
      </x:c>
    </x:row>
    <x:row r="30" ht="430" customHeight="1">
      <x:c r="A30" s="23" t="n">
        <x:v>29</x:v>
      </x:c>
      <x:c r="B30" s="24" t="str">
        <x:v>P08-S05-I005-S1-04B-F02</x:v>
      </x:c>
      <x:c r="C30" s="24" t="str">
        <x:v>Create a storyboard concept still for Pilot 8 source video I005-S1-04B, story 4B,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enclosed star-sand tray is held near the stable angle. The blue route mark is partly visible, one end still covered. Bố holds the padded tilt handle. Meo stands beside the clear side wall.
Exact frozen source action: Bố reduces the tilt slowly. A final ribbon of grains slides away from the blue route, then the surface settles into a stable shallow slope. Meo watches the moving grains stop exactly after the route line is uncovered and signals hold. Bố keeps the tray at the same angle so no new avalanche starts.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toward Star-Sand Station, keeping the side angle marks and blue route visible. No cuts.
Visible physics/mechanism: lowering the surface below the sand’s angle of repose allows grain friction to balance gravity, stopping the slide and preserving the cleared route.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0" s="25" t="str">
        <x:v>P08-S05-MEO-PRIMARY.REFERENCE.png|P08-S05-MEO-SECONDARY.REFERENCE.png|P08-S05-BO-FRONT.REFERENCE.jpg|P08-S05-BO-SIDE.REFERENCE.jpg</x:v>
      </x:c>
    </x:row>
    <x:row r="31" ht="430" customHeight="1">
      <x:c r="A31" s="23" t="n">
        <x:v>30</x:v>
      </x:c>
      <x:c r="B31" s="24" t="str">
        <x:v>P08-S05-I005-S1-04B-F03</x:v>
      </x:c>
      <x:c r="C31" s="24" t="str">
        <x:v>Create a storyboard concept still for Pilot 8 source video I005-S1-04B, story 4B,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enclosed star-sand tray is held near the stable angle. The blue route mark is partly visible, one end still covered. Bố holds the padded tilt handle. Meo stands beside the clear side wall.
Exact frozen source action: Bố locks the tilt handle into a soft notch. The blue route glows beneath the clear wall while the sand stays still. the Dream Train door frames the revealed golden station path. Meo says in Vietnamese, with a warm five-year-old voice and clear, delighted delivery: “Bố ơi, đường sao hiện rồi!” Keep the exact wording; do not translate it.
Show the approved Part B resolution and warm father-daughter closure without rendering dialogue as text.
Camera adapted from the approved moving shot into one readable still: one medium-wide continuity shot from the same Dream Train doorway toward Star-Sand Station, keeping the side angle marks and blue route visible. No cuts.
Visible physics/mechanism: lowering the surface below the sand’s angle of repose allows grain friction to balance gravity, stopping the slide and preserving the cleared route.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1" s="25" t="str">
        <x:v>P08-S05-MEO-PRIMARY.REFERENCE.png|P08-S05-MEO-SECONDARY.REFERENCE.png|P08-S05-BO-FRONT.REFERENCE.jpg|P08-S05-BO-SIDE.REFERENCE.jpg</x:v>
      </x:c>
    </x:row>
    <x:row r="32" ht="430" customHeight="1">
      <x:c r="A32" s="23" t="n">
        <x:v>31</x:v>
      </x:c>
      <x:c r="B32" s="24" t="str">
        <x:v>P08-S05-I005-S1-05A-F01</x:v>
      </x:c>
      <x:c r="C32" s="24" t="str">
        <x:v>Create a storyboard concept still for Pilot 8 source video I005-S1-05A, story 5A,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dream town built from soft domino blocks along a low enclosed track. The final block controls a padded station gate, but one gap stops the chain.
Exact frozen source action: Bố opens the train door and gently taps the first oversized foam domino using a padded starter lever. Several blocks fall in sequence, then the motion stops at a visible empty gap.
Show the opening physical state and every prop needed for the coming cause-and-effect.
Camera adapted from the approved moving shot into one readable still: one medium-wide three-quarter shot from the Dream Train doorway toward Domino Town Station. No cuts.
Visible physics/mechanism: each falling block transfers momentum by contacting the next; a gap larger than the reach of the falling block interrupts propagation.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2" s="25" t="str">
        <x:v>P08-S05-MEO-PRIMARY.REFERENCE.png|P08-S05-MEO-SECONDARY.REFERENCE.png|P08-S05-BO-FRONT.REFERENCE.jpg|P08-S05-BO-SIDE.REFERENCE.jpg</x:v>
      </x:c>
    </x:row>
    <x:row r="33" ht="430" customHeight="1">
      <x:c r="A33" s="23" t="n">
        <x:v>32</x:v>
      </x:c>
      <x:c r="B33" s="24" t="str">
        <x:v>P08-S05-I005-S1-05A-F02</x:v>
      </x:c>
      <x:c r="C33" s="24" t="str">
        <x:v>Create a storyboard concept still for Pilot 8 source video I005-S1-05A, story 5A,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dream town built from soft domino blocks along a low enclosed track. The final block controls a padded station gate, but one gap stops the chain.
Exact frozen source action: Bố resets the test section with a return handle. Meo compares the spacing before and after the gap and notices a movable foam block beside two guide marks. Bố slides that block too far left and leaves it there without another chain test. Meo compares the visible gap with the midpoint marks and sees that the block is still short of the correct position.
Freeze the clearest readable instant of the approved causal mechanism, with Meo's observation and Bố's indispensable physical action visible together.
Camera adapted from the approved moving shot into one readable still: one medium-wide three-quarter shot from the Dream Train doorway toward Domino Town Station. No cuts.
Visible physics/mechanism: each falling block transfers momentum by contacting the next; a gap larger than the reach of the falling block interrupts propagation.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3" s="25" t="str">
        <x:v>P08-S05-MEO-PRIMARY.REFERENCE.png|P08-S05-MEO-SECONDARY.REFERENCE.png|P08-S05-BO-FRONT.REFERENCE.jpg|P08-S05-BO-SIDE.REFERENCE.jpg</x:v>
      </x:c>
    </x:row>
    <x:row r="34" ht="430" customHeight="1">
      <x:c r="A34" s="23" t="n">
        <x:v>33</x:v>
      </x:c>
      <x:c r="B34" s="24" t="str">
        <x:v>P08-S05-I005-S1-05A-F03</x:v>
      </x:c>
      <x:c r="C34" s="24" t="str">
        <x:v>Create a storyboard concept still for Pilot 8 source video I005-S1-05A, story 5A,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dream town built from soft domino blocks along a low enclosed track. The final block controls a padded station gate, but one gap stops the chain.
Exact frozen source action: Meo points to the midpoint marks showing where the missing block should stand so one falling block can touch the next. Bố slides it toward the marks and holds before testing. the gap is almost closed, but the final chain has not run yet. End unresolved.
Keep the approved Part A result visibly unresolved; do not solve it early.
Camera adapted from the approved moving shot into one readable still: one medium-wide three-quarter shot from the Dream Train doorway toward Domino Town Station. No cuts.
Visible physics/mechanism: each falling block transfers momentum by contacting the next; a gap larger than the reach of the falling block interrupts propagation.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4" s="25" t="str">
        <x:v>P08-S05-MEO-PRIMARY.REFERENCE.png|P08-S05-MEO-SECONDARY.REFERENCE.png|P08-S05-BO-FRONT.REFERENCE.jpg|P08-S05-BO-SIDE.REFERENCE.jpg</x:v>
      </x:c>
    </x:row>
    <x:row r="35" ht="430" customHeight="1">
      <x:c r="A35" s="23" t="n">
        <x:v>34</x:v>
      </x:c>
      <x:c r="B35" s="24" t="str">
        <x:v>P08-S05-I005-S1-05B-F01</x:v>
      </x:c>
      <x:c r="C35" s="24" t="str">
        <x:v>Create a storyboard concept still for Pilot 8 source video I005-S1-05B, story 5B,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movable foam domino is almost centered on the guide marks, and the chain has not been tested. Bố holds the low sliding handle and padded starter lever. Meo stands beside the spacing marks.
Exact frozen source action: Meo points to the exact midpoint and signals Bố to slide the missing block a little farther.
Show the opening physical state and every prop needed for the coming cause-and-effect.
Camera adapted from the approved moving shot into one readable still: one medium-wide continuity shot from the same Dream Train doorway, keeping the missing block and station gate visible. No cuts.
Visible physics/mechanism: correct spacing lets each falling block transfer momentum by contact, allowing the chain reaction to propagate continuously to the final switch.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5" s="25" t="str">
        <x:v>P08-S05-MEO-PRIMARY.REFERENCE.png|P08-S05-MEO-SECONDARY.REFERENCE.png|P08-S05-BO-FRONT.REFERENCE.jpg|P08-S05-BO-SIDE.REFERENCE.jpg</x:v>
      </x:c>
    </x:row>
    <x:row r="36" ht="430" customHeight="1">
      <x:c r="A36" s="23" t="n">
        <x:v>35</x:v>
      </x:c>
      <x:c r="B36" s="24" t="str">
        <x:v>P08-S05-I005-S1-05B-F02</x:v>
      </x:c>
      <x:c r="C36" s="24" t="str">
        <x:v>Create a storyboard concept still for Pilot 8 source video I005-S1-05B, story 5B,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movable foam domino is almost centered on the guide marks, and the chain has not been tested. Bố holds the low sliding handle and padded starter lever. Meo stands beside the spacing marks.
Exact frozen source action: Bố centers and locks the block. At Meo’s signal, he presses the padded starter lever once. The first foam domino tips into the second; each block contacts the next in sequence. The repaired middle block now receives the falling block and tips into the next, allowing the chain to continue toward the station gate.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keeping the missing block and station gate visible. No cuts.
Visible physics/mechanism: correct spacing lets each falling block transfer momentum by contact, allowing the chain reaction to propagate continuously to the final switch.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6" s="25" t="str">
        <x:v>P08-S05-MEO-PRIMARY.REFERENCE.png|P08-S05-MEO-SECONDARY.REFERENCE.png|P08-S05-BO-FRONT.REFERENCE.jpg|P08-S05-BO-SIDE.REFERENCE.jpg</x:v>
      </x:c>
    </x:row>
    <x:row r="37" ht="430" customHeight="1">
      <x:c r="A37" s="23" t="n">
        <x:v>36</x:v>
      </x:c>
      <x:c r="B37" s="24" t="str">
        <x:v>P08-S05-I005-S1-05B-F03</x:v>
      </x:c>
      <x:c r="C37" s="24" t="str">
        <x:v>Create a storyboard concept still for Pilot 8 source video I005-S1-05B, story 5B,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movable foam domino is almost centered on the guide marks, and the chain has not been tested. Bố holds the low sliding handle and padded starter lever. Meo stands beside the spacing marks.
Exact frozen source action: the final domino gently presses a broad padded gate switch. Bố releases the starter lever while the station gate slides open sideways inside its frame. the open gate reveals glowing little streets beyond the train door. Meo says in Vietnamese, with a warm five-year-old voice and clear, delighted delivery: “Bố ơi, cả phố chạy rồi!” Keep the exact wording; do not translate it.
Show the approved Part B resolution and warm father-daughter closure without rendering dialogue as text.
Camera adapted from the approved moving shot into one readable still: one medium-wide continuity shot from the same Dream Train doorway, keeping the missing block and station gate visible. No cuts.
Visible physics/mechanism: correct spacing lets each falling block transfer momentum by contact, allowing the chain reaction to propagate continuously to the final switch.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7" s="25" t="str">
        <x:v>P08-S05-MEO-PRIMARY.REFERENCE.png|P08-S05-MEO-SECONDARY.REFERENCE.png|P08-S05-BO-FRONT.REFERENCE.jpg|P08-S05-BO-SIDE.REFERENCE.jpg</x:v>
      </x:c>
    </x:row>
    <x:row r="38" ht="430" customHeight="1">
      <x:c r="A38" s="23" t="n">
        <x:v>37</x:v>
      </x:c>
      <x:c r="B38" s="24" t="str">
        <x:v>P08-S05-I005-S1-06A-F01</x:v>
      </x:c>
      <x:c r="C38" s="24" t="str">
        <x:v>Create a storyboard concept still for Pilot 8 source video I005-S1-06A, story 6A,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pale-blue world where soft feather-shaped snowflakes descend inside a tall transparent station column. One glowing feather marker must land on a padded star target at the bottom. Bố controls a folding catcher beneath it; Meo watches timing marks.
Exact frozen source action: Bố opens the train door and holds the catcher nearly folded. The glowing feather marker drops quickly past the upper mark and misses the center target.
Show the opening physical state and every prop needed for the coming cause-and-effect.
Camera adapted from the approved moving shot into one readable still: one medium-wide side shot from the Dream Train doorway toward Feather Snow Station. No cuts.
Visible physics/mechanism: an exposed surface experiences greater aerodynamic drag, reducing the downward speed of the lightweight marker through air.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8" s="25" t="str">
        <x:v>P08-S05-MEO-PRIMARY.REFERENCE.png|P08-S05-MEO-SECONDARY.REFERENCE.png|P08-S05-BO-FRONT.REFERENCE.jpg|P08-S05-BO-SIDE.REFERENCE.jpg</x:v>
      </x:c>
    </x:row>
    <x:row r="39" ht="430" customHeight="1">
      <x:c r="A39" s="23" t="n">
        <x:v>38</x:v>
      </x:c>
      <x:c r="B39" s="24" t="str">
        <x:v>P08-S05-I005-S1-06A-F02</x:v>
      </x:c>
      <x:c r="C39" s="24" t="str">
        <x:v>Create a storyboard concept still for Pilot 8 source video I005-S1-06A, story 6A,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pale-blue world where soft feather-shaped snowflakes descend inside a tall transparent station column. One glowing feather marker must land on a padded star target at the bottom. Bố controls a folding catcher beneath it; Meo watches timing marks.
Exact frozen source action: Bố uses a return handle to reset the marker at the top, then opens the catcher wide beneath it. As the feather descends, the broad surface pushes against more air and the marker falls more slowly. He partly folds the catcher; the marker speeds up again. Meo compares the descent speed against three side marks and notices the widest shape produces the longest fall time.
Freeze the clearest readable instant of the approved causal mechanism, with Meo's observation and Bố's indispensable physical action visible together.
Camera adapted from the approved moving shot into one readable still: one medium-wide side shot from the Dream Train doorway toward Feather Snow Station. No cuts.
Visible physics/mechanism: an exposed surface experiences greater aerodynamic drag, reducing the downward speed of the lightweight marker through air.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9" s="25" t="str">
        <x:v>P08-S05-MEO-PRIMARY.REFERENCE.png|P08-S05-MEO-SECONDARY.REFERENCE.png|P08-S05-BO-FRONT.REFERENCE.jpg|P08-S05-BO-SIDE.REFERENCE.jpg</x:v>
      </x:c>
    </x:row>
    <x:row r="40" ht="430" customHeight="1">
      <x:c r="A40" s="23" t="n">
        <x:v>39</x:v>
      </x:c>
      <x:c r="B40" s="24" t="str">
        <x:v>P08-S05-I005-S1-06A-F03</x:v>
      </x:c>
      <x:c r="C40" s="24" t="str">
        <x:v>Create a storyboard concept still for Pilot 8 source video I005-S1-06A, story 6A,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pale-blue world where soft feather-shaped snowflakes descend inside a tall transparent station column. One glowing feather marker must land on a padded star target at the bottom. Bố controls a folding catcher beneath it; Meo watches timing marks.
Exact frozen source action: Meo points to the fully open symbol and then to the center star, signaling Bố to keep maximum surface area for the final descent. Bố opens the catcher fully; the feather begins a slower descent but has not reached the target. End unresolved.
Keep the approved Part A result visibly unresolved; do not solve it early.
Camera adapted from the approved moving shot into one readable still: one medium-wide side shot from the Dream Train doorway toward Feather Snow Station. No cuts.
Visible physics/mechanism: an exposed surface experiences greater aerodynamic drag, reducing the downward speed of the lightweight marker through air.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0" s="25" t="str">
        <x:v>P08-S05-MEO-PRIMARY.REFERENCE.png|P08-S05-MEO-SECONDARY.REFERENCE.png|P08-S05-BO-FRONT.REFERENCE.jpg|P08-S05-BO-SIDE.REFERENCE.jpg</x:v>
      </x:c>
    </x:row>
    <x:row r="41" ht="430" customHeight="1">
      <x:c r="A41" s="23" t="n">
        <x:v>40</x:v>
      </x:c>
      <x:c r="B41" s="24" t="str">
        <x:v>P08-S05-I005-S1-06B-F01</x:v>
      </x:c>
      <x:c r="C41" s="24" t="str">
        <x:v>Create a storyboard concept still for Pilot 8 source video I005-S1-06B, story 6B,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glowing feather marker has begun a slow descent. Bố holds the broad catcher fully open inside the enclosed station column. Meo stands beside the side timing marks and center target.
Exact frozen source action: Meo points to the fully open symbol and traces the feather’s slow route toward the center star. Bố keeps the catcher at maximum area.
Show the opening physical state and every prop needed for the coming cause-and-effect.
Camera adapted from the approved moving shot into one readable still: one medium-wide continuity shot from the same Dream Train doorway toward Feather Snow Station, keeping the transparent column and star target visible. No cuts.
Visible physics/mechanism: larger surface area increases aerodynamic drag and slows descent; small catcher-position changes redirect the local airflow while preserving the slow fall.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1" s="25" t="str">
        <x:v>P08-S05-MEO-PRIMARY.REFERENCE.png|P08-S05-MEO-SECONDARY.REFERENCE.png|P08-S05-BO-FRONT.REFERENCE.jpg|P08-S05-BO-SIDE.REFERENCE.jpg</x:v>
      </x:c>
    </x:row>
    <x:row r="42" ht="430" customHeight="1">
      <x:c r="A42" s="23" t="n">
        <x:v>41</x:v>
      </x:c>
      <x:c r="B42" s="24" t="str">
        <x:v>P08-S05-I005-S1-06B-F02</x:v>
      </x:c>
      <x:c r="C42" s="24" t="str">
        <x:v>Create a storyboard concept still for Pilot 8 source video I005-S1-06B, story 6B,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glowing feather marker has begun a slow descent. Bố holds the broad catcher fully open inside the enclosed station column. Meo stands beside the side timing marks and center target.
Exact frozen source action: the feather descends steadily, at a visibly slow steady rate. Bố makes one small left-right correction with the padded catcher handle while keeping it fully open. The moving air around the broad surface gently guides the feather toward the centerline. Meo watches it cross the lower timing mark and signals Bố to hold still.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toward Feather Snow Station, keeping the transparent column and star target visible. No cuts.
Visible physics/mechanism: larger surface area increases aerodynamic drag and slows descent; small catcher-position changes redirect the local airflow while preserving the slow fall.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2" s="25" t="str">
        <x:v>P08-S05-MEO-PRIMARY.REFERENCE.png|P08-S05-MEO-SECONDARY.REFERENCE.png|P08-S05-BO-FRONT.REFERENCE.jpg|P08-S05-BO-SIDE.REFERENCE.jpg</x:v>
      </x:c>
    </x:row>
    <x:row r="43" ht="430" customHeight="1">
      <x:c r="A43" s="23" t="n">
        <x:v>42</x:v>
      </x:c>
      <x:c r="B43" s="24" t="str">
        <x:v>P08-S05-I005-S1-06B-F03</x:v>
      </x:c>
      <x:c r="C43" s="24" t="str">
        <x:v>Create a storyboard concept still for Pilot 8 source video I005-S1-06B, story 6B,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glowing feather marker has begun a slow descent. Bố holds the broad catcher fully open inside the enclosed station column. Meo stands beside the side timing marks and center target.
Exact frozen source action: the lightweight feather settles softly onto the padded star target. Bố closes the return handle only after the marker stops. the transparent column glows like falling snow. Meo says in Vietnamese, with a warm five-year-old voice and clear, delighted delivery: “Bố ơi, bông tuyết đáp trúng rồi!” Keep the exact wording; do not translate it.
Show the approved Part B resolution and warm father-daughter closure without rendering dialogue as text.
Camera adapted from the approved moving shot into one readable still: one medium-wide continuity shot from the same Dream Train doorway toward Feather Snow Station, keeping the transparent column and star target visible. No cuts.
Visible physics/mechanism: larger surface area increases aerodynamic drag and slows descent; small catcher-position changes redirect the local airflow while preserving the slow fall.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3" s="25" t="str">
        <x:v>P08-S05-MEO-PRIMARY.REFERENCE.png|P08-S05-MEO-SECONDARY.REFERENCE.png|P08-S05-BO-FRONT.REFERENCE.jpg|P08-S05-BO-SIDE.REFERENCE.jpg</x:v>
      </x:c>
    </x:row>
    <x:row r="44" ht="430" customHeight="1">
      <x:c r="A44" s="23" t="n">
        <x:v>43</x:v>
      </x:c>
      <x:c r="B44" s="24" t="str">
        <x:v>P08-S05-I005-S1-07A-F01</x:v>
      </x:c>
      <x:c r="C44" s="24" t="str">
        <x:v>Create a storyboard concept still for Pilot 8 source video I005-S1-07A, story 7A,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moonlit underwater-style dream station behind clear walls. A sealed blue-fluid tube connects two low transparent cylinders. The small far piston carries a glowing fish-shaped station sign that must rise to the doorway mark. Bố controls the broad padded near piston; Meo watches fluid and height marks.
Exact frozen source action: Bố opens the train door and presses the near piston only a little. The blue fluid moves through the sealed tube and the far piston rises slightly.
Show the opening physical state and every prop needed for the coming cause-and-effect.
Camera adapted from the approved moving shot into one readable still: one medium-wide three-quarter shot from the Dream Train doorway toward Moon Aquarium Station. No cuts.
Visible physics/mechanism: nearly incompressible fluid in a sealed connected system transmits pressure and displaced volume from the near piston to the far piston, producing upward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4" s="25" t="str">
        <x:v>P08-S05-MEO-PRIMARY.REFERENCE.png|P08-S05-MEO-SECONDARY.REFERENCE.png|P08-S05-BO-FRONT.REFERENCE.jpg|P08-S05-BO-SIDE.REFERENCE.jpg</x:v>
      </x:c>
    </x:row>
    <x:row r="45" ht="430" customHeight="1">
      <x:c r="A45" s="23" t="n">
        <x:v>44</x:v>
      </x:c>
      <x:c r="B45" s="24" t="str">
        <x:v>P08-S05-I005-S1-07A-F02</x:v>
      </x:c>
      <x:c r="C45" s="24" t="str">
        <x:v>Create a storyboard concept still for Pilot 8 source video I005-S1-07A, story 7A,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moonlit underwater-style dream station behind clear walls. A sealed blue-fluid tube connects two low transparent cylinders. The small far piston carries a glowing fish-shaped station sign that must rise to the doorway mark. Bố controls the broad padded near piston; Meo watches fluid and height marks.
Exact frozen source action: Bố releases; the far piston lowers. He presses farther and the far sign rises higher. Meo compares the near-piston travel with the far height marks and notices that every downward movement of the near piston pushes the enclosed fluid toward the far cylinder. Bố pauses with the fish sign just below a crescent target.
Freeze the clearest readable instant of the approved causal mechanism, with Meo's observation and Bố's indispensable physical action visible together.
Camera adapted from the approved moving shot into one readable still: one medium-wide three-quarter shot from the Dream Train doorway toward Moon Aquarium Station. No cuts.
Visible physics/mechanism: nearly incompressible fluid in a sealed connected system transmits pressure and displaced volume from the near piston to the far piston, producing upward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5" s="25" t="str">
        <x:v>P08-S05-MEO-PRIMARY.REFERENCE.png|P08-S05-MEO-SECONDARY.REFERENCE.png|P08-S05-BO-FRONT.REFERENCE.jpg|P08-S05-BO-SIDE.REFERENCE.jpg</x:v>
      </x:c>
    </x:row>
    <x:row r="46" ht="430" customHeight="1">
      <x:c r="A46" s="23" t="n">
        <x:v>45</x:v>
      </x:c>
      <x:c r="B46" s="24" t="str">
        <x:v>P08-S05-I005-S1-07A-F03</x:v>
      </x:c>
      <x:c r="C46" s="24" t="str">
        <x:v>Create a storyboard concept still for Pilot 8 source video I005-S1-07A, story 7A,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moonlit underwater-style dream station behind clear walls. A sealed blue-fluid tube connects two low transparent cylinders. The small far piston carries a glowing fish-shaped station sign that must rise to the doorway mark. Bố controls the broad padded near piston; Meo watches fluid and height marks.
Exact frozen source action: Meo points from the remaining near-piston travel to the crescent height mark and signals one smaller final press. Bố begins the final press, but the fish sign is still below the crescent. End unresolved.
Keep the approved Part A result visibly unresolved; do not solve it early.
Camera adapted from the approved moving shot into one readable still: one medium-wide three-quarter shot from the Dream Train doorway toward Moon Aquarium Station. No cuts.
Visible physics/mechanism: nearly incompressible fluid in a sealed connected system transmits pressure and displaced volume from the near piston to the far piston, producing upward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6" s="25" t="str">
        <x:v>P08-S05-MEO-PRIMARY.REFERENCE.png|P08-S05-MEO-SECONDARY.REFERENCE.png|P08-S05-BO-FRONT.REFERENCE.jpg|P08-S05-BO-SIDE.REFERENCE.jpg</x:v>
      </x:c>
    </x:row>
    <x:row r="47" ht="430" customHeight="1">
      <x:c r="A47" s="23" t="n">
        <x:v>46</x:v>
      </x:c>
      <x:c r="B47" s="24" t="str">
        <x:v>P08-S05-I005-S1-07B-F01</x:v>
      </x:c>
      <x:c r="C47" s="24" t="str">
        <x:v>Create a storyboard concept still for Pilot 8 source video I005-S1-07B, story 7B,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sealed blue-fluid system is pressurized partway. The glowing fish sign on the far piston sits just below the crescent target. Bố holds the padded near piston. Meo stands beside the travel and height marks.
Exact frozen source action: Meo points to the remaining piston distance and then to the crescent target, signaling a short controlled press.
Show the opening physical state and every prop needed for the coming cause-and-effect.
Camera adapted from the approved moving shot into one readable still: one medium-wide continuity shot from the same Dream Train doorway, keeping both pistons and the crescent height mark visible. No cuts.
Visible physics/mechanism: sealed fluid transmits the near piston’s pressure and displaced volume to the far piston; holding the near piston fixes the far piston at the matching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7" s="25" t="str">
        <x:v>P08-S05-MEO-PRIMARY.REFERENCE.png|P08-S05-MEO-SECONDARY.REFERENCE.png|P08-S05-BO-FRONT.REFERENCE.jpg|P08-S05-BO-SIDE.REFERENCE.jpg</x:v>
      </x:c>
    </x:row>
    <x:row r="48" ht="430" customHeight="1">
      <x:c r="A48" s="23" t="n">
        <x:v>47</x:v>
      </x:c>
      <x:c r="B48" s="24" t="str">
        <x:v>P08-S05-I005-S1-07B-F02</x:v>
      </x:c>
      <x:c r="C48" s="24" t="str">
        <x:v>Create a storyboard concept still for Pilot 8 source video I005-S1-07B, story 7B,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sealed blue-fluid system is pressurized partway. The glowing fish sign on the far piston sits just below the crescent target. Bố holds the padded near piston. Meo stands beside the travel and height marks.
Exact frozen source action: Bố pushes the near piston down slowly. Blue fluid moves through the connecting tube and the far piston rises at the same time. Meo watches the fish sign approach the crescent and signals slower for the final movement. Bố stops when the sign aligns with the target mark and keeps pressure steady.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keeping both pistons and the crescent height mark visible. No cuts.
Visible physics/mechanism: sealed fluid transmits the near piston’s pressure and displaced volume to the far piston; holding the near piston fixes the far piston at the matching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8" s="25" t="str">
        <x:v>P08-S05-MEO-PRIMARY.REFERENCE.png|P08-S05-MEO-SECONDARY.REFERENCE.png|P08-S05-BO-FRONT.REFERENCE.jpg|P08-S05-BO-SIDE.REFERENCE.jpg</x:v>
      </x:c>
    </x:row>
    <x:row r="49" ht="430" customHeight="1">
      <x:c r="A49" s="23" t="n">
        <x:v>48</x:v>
      </x:c>
      <x:c r="B49" s="24" t="str">
        <x:v>P08-S05-I005-S1-07B-F03</x:v>
      </x:c>
      <x:c r="C49" s="24" t="str">
        <x:v>Create a storyboard concept still for Pilot 8 source video I005-S1-07B, story 7B,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sealed blue-fluid system is pressurized partway. The glowing fish sign on the far piston sits just below the crescent target. Bố holds the padded near piston. Meo stands beside the travel and height marks.
Exact frozen source action: Bố engages a soft mechanical hold on the near piston. The far piston remains raised while tiny moon bubbles glow inside the sealed decorative panel. the fish sign shines beside the open train door. Meo says in Vietnamese, with a warm five-year-old voice and clear, delighted delivery: “Bố ơi, cá trăng nổi lên rồi!” Keep the exact wording; do not translate it.
Show the approved Part B resolution and warm father-daughter closure without rendering dialogue as text.
Camera adapted from the approved moving shot into one readable still: one medium-wide continuity shot from the same Dream Train doorway, keeping both pistons and the crescent height mark visible. No cuts.
Visible physics/mechanism: sealed fluid transmits the near piston’s pressure and displaced volume to the far piston; holding the near piston fixes the far piston at the matching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9" s="25" t="str">
        <x:v>P08-S05-MEO-PRIMARY.REFERENCE.png|P08-S05-MEO-SECONDARY.REFERENCE.png|P08-S05-BO-FRONT.REFERENCE.jpg|P08-S05-BO-SIDE.REFERENCE.jpg</x:v>
      </x:c>
    </x:row>
    <x:row r="50" ht="430" customHeight="1">
      <x:c r="A50" s="23" t="n">
        <x:v>49</x:v>
      </x:c>
      <x:c r="B50" s="24" t="str">
        <x:v>P08-S05-I005-S1-08A-F01</x:v>
      </x:c>
      <x:c r="C50" s="24" t="str">
        <x:v>Create a storyboard concept still for Pilot 8 source video I005-S1-08A, story 8A,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sky made from soft geometric cloud tiles fitted inside a flat padded frame. One movable blue tile leaves a star-shaped gap because its tabs and notches do not match the neighboring edges. Bố holds side handles that slide and rotate the tile; Meo watches colored edge symbols.
Exact frozen source action: Bố opens the train door and slides the blue tile toward the gap. One rounded tab meets another tab, so the piece stops before lying flat.
Show the opening physical state and every prop needed for the coming cause-and-effect.
Camera adapted from the approved moving shot into one readable still: one medium-wide front three-quarter shot from the Dream Train doorway toward Patchwork Sky Station. No cuts.
Visible physics/mechanism: tessellating pieces fit without overlap only when complementary tabs and notches share the same boundary positions; wrong orientations create edge collisions.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0" s="25" t="str">
        <x:v>P08-S05-MEO-PRIMARY.REFERENCE.png|P08-S05-MEO-SECONDARY.REFERENCE.png|P08-S05-BO-FRONT.REFERENCE.jpg|P08-S05-BO-SIDE.REFERENCE.jpg</x:v>
      </x:c>
    </x:row>
    <x:row r="51" ht="430" customHeight="1">
      <x:c r="A51" s="23" t="n">
        <x:v>50</x:v>
      </x:c>
      <x:c r="B51" s="24" t="str">
        <x:v>P08-S05-I005-S1-08A-F02</x:v>
      </x:c>
      <x:c r="C51" s="24" t="str">
        <x:v>Create a storyboard concept still for Pilot 8 source video I005-S1-08A, story 8A,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sky made from soft geometric cloud tiles fitted inside a flat padded frame. One movable blue tile leaves a star-shaped gap because its tabs and notches do not match the neighboring edges. Bố holds side handles that slide and rotate the tile; Meo watches colored edge symbols.
Exact frozen source action: Bố pulls the tile back and rotates it one step. A notch now matches one neighbor, but a second edge still collides. Meo compares the red-circle and yellow-triangle symbols printed beside each tab and notch. She notices the only orientation where every outward tab faces a matching inward notch around the star gap.
Freeze the clearest readable instant of the approved causal mechanism, with Meo's observation and Bố's indispensable physical action visible together.
Camera adapted from the approved moving shot into one readable still: one medium-wide front three-quarter shot from the Dream Train doorway toward Patchwork Sky Station. No cuts.
Visible physics/mechanism: tessellating pieces fit without overlap only when complementary tabs and notches share the same boundary positions; wrong orientations create edge collisions.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1" s="25" t="str">
        <x:v>P08-S05-MEO-PRIMARY.REFERENCE.png|P08-S05-MEO-SECONDARY.REFERENCE.png|P08-S05-BO-FRONT.REFERENCE.jpg|P08-S05-BO-SIDE.REFERENCE.jpg</x:v>
      </x:c>
    </x:row>
    <x:row r="52" ht="430" customHeight="1">
      <x:c r="A52" s="23" t="n">
        <x:v>51</x:v>
      </x:c>
      <x:c r="B52" s="24" t="str">
        <x:v>P08-S05-I005-S1-08A-F03</x:v>
      </x:c>
      <x:c r="C52" s="24" t="str">
        <x:v>Create a storyboard concept still for Pilot 8 source video I005-S1-08A, story 8A,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opens onto a sky made from soft geometric cloud tiles fitted inside a flat padded frame. One movable blue tile leaves a star-shaped gap because its tabs and notches do not match the neighboring edges. Bố holds side handles that slide and rotate the tile; Meo watches colored edge symbols.
Exact frozen source action: Meo traces the correct edge sequence clockwise and signals Bố to rotate the tile one more step, then slide it straight inward. Bố reaches the correct orientation but holds the tile just outside the gap. End unresolved.
Keep the approved Part A result visibly unresolved; do not solve it early.
Camera adapted from the approved moving shot into one readable still: one medium-wide front three-quarter shot from the Dream Train doorway toward Patchwork Sky Station. No cuts.
Visible physics/mechanism: tessellating pieces fit without overlap only when complementary tabs and notches share the same boundary positions; wrong orientations create edge collisions.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2" s="25" t="str">
        <x:v>P08-S05-MEO-PRIMARY.REFERENCE.png|P08-S05-MEO-SECONDARY.REFERENCE.png|P08-S05-BO-FRONT.REFERENCE.jpg|P08-S05-BO-SIDE.REFERENCE.jpg</x:v>
      </x:c>
    </x:row>
    <x:row r="53" ht="430" customHeight="1">
      <x:c r="A53" s="23" t="n">
        <x:v>52</x:v>
      </x:c>
      <x:c r="B53" s="24" t="str">
        <x:v>P08-S05-I005-S1-08B-F01</x:v>
      </x:c>
      <x:c r="C53" s="24" t="str">
        <x:v>Create a storyboard concept still for Pilot 8 source video I005-S1-08B, story 8B,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movable blue cloud tile is oriented just outside the star-shaped gap. Its complementary tabs and notches now face the matching neighboring edges. Bố holds the two padded side handles. Meo stands beside the colored edge symbols.
Exact frozen source action: Meo points around the gap, checking each tab-to-notch pair, then signals Bố to slide the tile straight inward without rotating it.
Show the opening physical state and every prop needed for the coming cause-and-effect.
Camera adapted from the approved moving shot into one readable still: one medium-wide continuity shot from the same Dream Train doorway toward Patchwork Sky Station, keeping the star gap and edge symbols visible. No cuts.
Visible physics/mechanism: complementary boundary shapes permit a tessellating piece to occupy the gap without overlap; equal straight insertion keeps all matching edges engaged together.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3" s="25" t="str">
        <x:v>P08-S05-MEO-PRIMARY.REFERENCE.png|P08-S05-MEO-SECONDARY.REFERENCE.png|P08-S05-BO-FRONT.REFERENCE.jpg|P08-S05-BO-SIDE.REFERENCE.jpg</x:v>
      </x:c>
    </x:row>
    <x:row r="54" ht="430" customHeight="1">
      <x:c r="A54" s="23" t="n">
        <x:v>53</x:v>
      </x:c>
      <x:c r="B54" s="24" t="str">
        <x:v>P08-S05-I005-S1-08B-F02</x:v>
      </x:c>
      <x:c r="C54" s="24" t="str">
        <x:v>Create a storyboard concept still for Pilot 8 source video I005-S1-08B, story 8B,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movable blue cloud tile is oriented just outside the star-shaped gap. Its complementary tabs and notches now face the matching neighboring edges. Bố holds the two padded side handles. Meo stands beside the colored edge symbols.
Exact frozen source action: Bố pushes both handles evenly. The blue tile moves into the frame; each rounded tab enters its matching notch without collision. Meo tracks four boundaries as the gaps shrink together and signals him to continue until the tile becomes flush with its neighbors.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toward Patchwork Sky Station, keeping the star gap and edge symbols visible. No cuts.
Visible physics/mechanism: complementary boundary shapes permit a tessellating piece to occupy the gap without overlap; equal straight insertion keeps all matching edges engaged together.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4" s="25" t="str">
        <x:v>P08-S05-MEO-PRIMARY.REFERENCE.png|P08-S05-MEO-SECONDARY.REFERENCE.png|P08-S05-BO-FRONT.REFERENCE.jpg|P08-S05-BO-SIDE.REFERENCE.jpg</x:v>
      </x:c>
    </x:row>
    <x:row r="55" ht="430" customHeight="1">
      <x:c r="A55" s="23" t="n">
        <x:v>54</x:v>
      </x:c>
      <x:c r="B55" s="24" t="str">
        <x:v>P08-S05-I005-S1-08B-F03</x:v>
      </x:c>
      <x:c r="C55" s="24" t="str">
        <x:v>Create a storyboard concept still for Pilot 8 source video I005-S1-08B, story 8B,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movable blue cloud tile is oriented just outside the star-shaped gap. Its complementary tabs and notches now face the matching neighboring edges. Bố holds the two padded side handles. Meo stands beside the colored edge symbols.
Exact frozen source action: Bố locks both side handles into catches. The completed patchwork sky lies flat, with the former star gap now filled by a glowing star motif across the joined edges. the train door frames the finished sky. Meo says in Vietnamese, with a warm five-year-old voice and clear, delighted delivery: “Bố ơi, bầu trời khớp rồi!” Keep the exact wording; do not translate it.
Show the approved Part B resolution and warm father-daughter closure without rendering dialogue as text.
Camera adapted from the approved moving shot into one readable still: one medium-wide continuity shot from the same Dream Train doorway toward Patchwork Sky Station, keeping the star gap and edge symbols visible. No cuts.
Visible physics/mechanism: complementary boundary shapes permit a tessellating piece to occupy the gap without overlap; equal straight insertion keeps all matching edges engaged together.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5" s="25" t="str">
        <x:v>P08-S05-MEO-PRIMARY.REFERENCE.png|P08-S05-MEO-SECONDARY.REFERENCE.png|P08-S05-BO-FRONT.REFERENCE.jpg|P08-S05-BO-SIDE.REFERENCE.jpg</x:v>
      </x:c>
    </x:row>
    <x:row r="56" ht="430" customHeight="1">
      <x:c r="A56" s="23" t="n">
        <x:v>55</x:v>
      </x:c>
      <x:c r="B56" s="24" t="str">
        <x:v>P08-S05-I005-S1-09A-F01</x:v>
      </x:c>
      <x:c r="C56" s="24" t="str">
        <x:v>Create a storyboard concept still for Pilot 8 source video I005-S1-09A, story 9A,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violet dream lake. A sealed shallow water channel sits behind clear panels. A moon float must rise to a crescent mark. Bố has padded pulse handles at both ends; Meo watches ripple lines.
Exact frozen source action: Bố opens the train door and presses the left pulse handle once. A gentle ripple travels through the enclosed channel, reaches the center float and lifts it only halfway to the crescent.
Show the opening physical state and every prop needed for the coming cause-and-effect.
Camera adapted from the approved moving shot into one readable still: one medium-wide side shot from the Dream Train doorway toward Ripple Lake Station. No cuts.
Visible physics/mechanism: individual ripples produce limited vertical displacement; two matching wave crests arriving together at the center temporarily add their amplitudes through constructive superposition.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6" s="25" t="str">
        <x:v>P08-S05-MEO-PRIMARY.REFERENCE.png|P08-S05-MEO-SECONDARY.REFERENCE.png|P08-S05-BO-FRONT.REFERENCE.jpg|P08-S05-BO-SIDE.REFERENCE.jpg</x:v>
      </x:c>
    </x:row>
    <x:row r="57" ht="430" customHeight="1">
      <x:c r="A57" s="23" t="n">
        <x:v>56</x:v>
      </x:c>
      <x:c r="B57" s="24" t="str">
        <x:v>P08-S05-I005-S1-09A-F02</x:v>
      </x:c>
      <x:c r="C57" s="24" t="str">
        <x:v>Create a storyboard concept still for Pilot 8 source video I005-S1-09A, story 9A,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violet dream lake. A sealed shallow water channel sits behind clear panels. A moon float must rise to a crescent mark. Bố has padded pulse handles at both ends; Meo watches ripple lines.
Exact frozen source action: Bố presses the right handle once. The same half-height lift appears. Meo compares both results and notices two matching wave symbols equidistant from center. Bố then presses the left handle slightly before the right; the ripples meet off center, making the moon float wobble but not reach the target. Meo watches where the two crests cross.
Freeze the clearest readable instant of the approved causal mechanism, with Meo's observation and Bố's indispensable physical action visible together.
Camera adapted from the approved moving shot into one readable still: one medium-wide side shot from the Dream Train doorway toward Ripple Lake Station. No cuts.
Visible physics/mechanism: individual ripples produce limited vertical displacement; two matching wave crests arriving together at the center temporarily add their amplitudes through constructive superposition.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7" s="25" t="str">
        <x:v>P08-S05-MEO-PRIMARY.REFERENCE.png|P08-S05-MEO-SECONDARY.REFERENCE.png|P08-S05-BO-FRONT.REFERENCE.jpg|P08-S05-BO-SIDE.REFERENCE.jpg</x:v>
      </x:c>
    </x:row>
    <x:row r="58" ht="430" customHeight="1">
      <x:c r="A58" s="23" t="n">
        <x:v>57</x:v>
      </x:c>
      <x:c r="B58" s="24" t="str">
        <x:v>P08-S05-I005-S1-09A-F03</x:v>
      </x:c>
      <x:c r="C58" s="24" t="str">
        <x:v>Create a storyboard concept still for Pilot 8 source video I005-S1-09A, story 9A,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door reveals a violet dream lake. A sealed shallow water channel sits behind clear panels. A moon float must rise to a crescent mark. Bố has padded pulse handles at both ends; Meo watches ripple lines.
Exact frozen source action: Meo points to both handles at once, then to the center moon, signaling that matching ripples should arrive together. Bố places one hand on each handle, ready for a simultaneous pulse. The moon remains below the crescent. End unresolved.
Keep the approved Part A result visibly unresolved; do not solve it early.
Camera adapted from the approved moving shot into one readable still: one medium-wide side shot from the Dream Train doorway toward Ripple Lake Station. No cuts.
Visible physics/mechanism: individual ripples produce limited vertical displacement; two matching wave crests arriving together at the center temporarily add their amplitudes through constructive superposition.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8" s="25" t="str">
        <x:v>P08-S05-MEO-PRIMARY.REFERENCE.png|P08-S05-MEO-SECONDARY.REFERENCE.png|P08-S05-BO-FRONT.REFERENCE.jpg|P08-S05-BO-SIDE.REFERENCE.jpg</x:v>
      </x:c>
    </x:row>
    <x:row r="59" ht="430" customHeight="1">
      <x:c r="A59" s="23" t="n">
        <x:v>58</x:v>
      </x:c>
      <x:c r="B59" s="24" t="str">
        <x:v>P08-S05-I005-S1-09B-F01</x:v>
      </x:c>
      <x:c r="C59" s="24" t="str">
        <x:v>Create a storyboard concept still for Pilot 8 source video I005-S1-09B, story 9B,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water in the sealed channel is calm. A retracted padded center shelf is visible directly beneath the glowing crescent, and the moon float rests below it. Bố holds both padded pulse handles. Meo stands beside the matching wave symbols.
Exact frozen source action: Meo points to both handles together, then to the center mark, signaling one simultaneous press.
Show the opening physical state and every prop needed for the coming cause-and-effect.
Camera adapted from the approved moving shot into one readable still: one medium-wide continuity shot from the same Dream Train doorway, keeping both pulse handles and center float visible. No cuts.
Visible physics/mechanism: equal wave crests arriving together produce constructive superposition, temporarily increasing the center displacement enough to reach the target and release the shelf.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9" s="25" t="str">
        <x:v>P08-S05-MEO-PRIMARY.REFERENCE.png|P08-S05-MEO-SECONDARY.REFERENCE.png|P08-S05-BO-FRONT.REFERENCE.jpg|P08-S05-BO-SIDE.REFERENCE.jpg</x:v>
      </x:c>
    </x:row>
    <x:row r="60" ht="430" customHeight="1">
      <x:c r="A60" s="23" t="n">
        <x:v>59</x:v>
      </x:c>
      <x:c r="B60" s="24" t="str">
        <x:v>P08-S05-I005-S1-09B-F02</x:v>
      </x:c>
      <x:c r="C60" s="24" t="str">
        <x:v>Create a storyboard concept still for Pilot 8 source video I005-S1-09B, story 9B,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water in the sealed channel is calm. A retracted padded center shelf is visible directly beneath the glowing crescent, and the moon float rests below it. Bố holds both padded pulse handles. Meo stands beside the matching wave symbols.
Exact frozen source action: Bố presses both handles at the same time equally. Two matching ripples move inward from opposite ends. Meo watches their crests approach the moon float symmetrically. The ripples meet at the center; their vertical motions add briefly and lift the moon float exactly to the crescent mark, where the crest visibly releases the shelf latch. Meo signals hold while Bố keeps both handles at their soft stops until the peak passes.
Freeze the clearest readable instant of the approved causal mechanism, with Meo's observation and Bố's indispensable physical action visible together.
Camera adapted from the approved moving shot into one readable still: one medium-wide continuity shot from the same Dream Train doorway, keeping both pulse handles and center float visible. No cuts.
Visible physics/mechanism: equal wave crests arriving together produce constructive superposition, temporarily increasing the center displacement enough to reach the target and release the shelf.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0" s="25" t="str">
        <x:v>P08-S05-MEO-PRIMARY.REFERENCE.png|P08-S05-MEO-SECONDARY.REFERENCE.png|P08-S05-BO-FRONT.REFERENCE.jpg|P08-S05-BO-SIDE.REFERENCE.jpg</x:v>
      </x:c>
    </x:row>
    <x:row r="61" ht="430" customHeight="1">
      <x:c r="A61" s="23" t="n">
        <x:v>60</x:v>
      </x:c>
      <x:c r="B61" s="24" t="str">
        <x:v>P08-S05-I005-S1-09B-F03</x:v>
      </x:c>
      <x:c r="C61" s="24" t="str">
        <x:v>Create a storyboard concept still for Pilot 8 source video I005-S1-09B, story 9B,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water in the sealed channel is calm. A retracted padded center shelf is visible directly beneath the glowing crescent, and the moon float rests below it. Bố holds both padded pulse handles. Meo stands beside the matching wave symbols.
Exact frozen source action: the retracted padded shelf slides out beneath the float. Bố releases both handles together, and the float settles onto the now-visible shelf. the violet lake glows beyond the train door. Meo says in Vietnamese, with a warm five-year-old voice and clear, delighted delivery: “Bố ơi, hai gợn gặp nhau rồi!” Keep the exact wording; do not translate it.
Show the approved Part B resolution and warm father-daughter closure without rendering dialogue as text.
Camera adapted from the approved moving shot into one readable still: one medium-wide continuity shot from the same Dream Train doorway, keeping both pulse handles and center float visible. No cuts.
Visible physics/mechanism: equal wave crests arriving together produce constructive superposition, temporarily increasing the center displacement enough to reach the target and release the shelf.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1" s="25" t="str">
        <x:v>P08-S05-MEO-PRIMARY.REFERENCE.png|P08-S05-MEO-SECONDARY.REFERENCE.png|P08-S05-BO-FRONT.REFERENCE.jpg|P08-S05-BO-SIDE.REFERENCE.jpg</x:v>
      </x:c>
    </x:row>
    <x:row r="62" ht="430" customHeight="1">
      <x:c r="A62" s="23" t="n">
        <x:v>61</x:v>
      </x:c>
      <x:c r="B62" s="24" t="str">
        <x:v>P08-S05-I005-S1-10A-F01</x:v>
      </x:c>
      <x:c r="C62" s="24" t="str">
        <x:v>Create a storyboard concept still for Pilot 8 source video I005-S1-10A, story 10A,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interior glows with ten tiny station stars. The homeward door has three broad padded latch sliders stacked vertically: moon, cloud and star. An indicator shows one glowing path from bottom to top.
Exact frozen source action: Bố holds the door rail and tries the middle cloud slider first. It moves halfway, then springs back; all three indicators remain dim.
Show the opening physical state and every prop needed for the coming cause-and-effect.
Camera adapted from the approved moving shot into one readable still: one medium-wide front three-quarter shot inside the Dream Train facing its final closed homeward door. No cuts.
Visible physics/mechanism: the latches are mechanically interlocked; each lower latch releases the next slider, so the door can open only after the three dependencies are completed in sequence.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2" s="25" t="str">
        <x:v>P08-S05-MEO-PRIMARY.REFERENCE.png|P08-S05-MEO-SECONDARY.REFERENCE.png|P08-S05-BO-FRONT.REFERENCE.jpg|P08-S05-BO-SIDE.REFERENCE.jpg</x:v>
      </x:c>
    </x:row>
    <x:row r="63" ht="430" customHeight="1">
      <x:c r="A63" s="23" t="n">
        <x:v>62</x:v>
      </x:c>
      <x:c r="B63" s="24" t="str">
        <x:v>P08-S05-I005-S1-10A-F02</x:v>
      </x:c>
      <x:c r="C63" s="24" t="str">
        <x:v>Create a storyboard concept still for Pilot 8 source video I005-S1-10A, story 10A,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interior glows with ten tiny station stars. The homeward door has three broad padded latch sliders stacked vertically: moon, cloud and star. An indicator shows one glowing path from bottom to top.
Exact frozen source action: Bố tries the bottom moon slider. It clicks fully into place and the first indicator glows. He then reaches for the top star slider, but it will not move because the middle latch is still closed. Meo compares the failed middle-first attempt with the successful bottom latch and follows the illuminated path: moon, then cloud, then star. Bố resets his hands to the three padded handles.
Freeze the clearest readable instant of the approved causal mechanism, with Meo's observation and Bố's indispensable physical action visible together.
Camera adapted from the approved moving shot into one readable still: one medium-wide front three-quarter shot inside the Dream Train facing its final closed homeward door. No cuts.
Visible physics/mechanism: the latches are mechanically interlocked; each lower latch releases the next slider, so the door can open only after the three dependencies are completed in sequence.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3" s="25" t="str">
        <x:v>P08-S05-MEO-PRIMARY.REFERENCE.png|P08-S05-MEO-SECONDARY.REFERENCE.png|P08-S05-BO-FRONT.REFERENCE.jpg|P08-S05-BO-SIDE.REFERENCE.jpg</x:v>
      </x:c>
    </x:row>
    <x:row r="64" ht="430" customHeight="1">
      <x:c r="A64" s="23" t="n">
        <x:v>63</x:v>
      </x:c>
      <x:c r="B64" s="24" t="str">
        <x:v>P08-S05-I005-S1-10A-F03</x:v>
      </x:c>
      <x:c r="C64" s="24" t="str">
        <x:v>Create a storyboard concept still for Pilot 8 source video I005-S1-10A, story 10A,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train interior glows with ten tiny station stars. The homeward door has three broad padded latch sliders stacked vertically: moon, cloud and star. An indicator shows one glowing path from bottom to top.
Exact frozen source action: Meo points bottom-to-middle-to-top in order and then to the door seam. Bố places one hand on the moon slider and one near the cloud slider, ready to follow her sequence. only the moon indicator glows; the homeward door is still closed. End unresolved.
Keep the approved Part A result visibly unresolved; do not solve it early.
Camera adapted from the approved moving shot into one readable still: one medium-wide front three-quarter shot inside the Dream Train facing its final closed homeward door. No cuts.
Visible physics/mechanism: the latches are mechanically interlocked; each lower latch releases the next slider, so the door can open only after the three dependencies are completed in sequence.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4" s="25" t="str">
        <x:v>P08-S05-MEO-PRIMARY.REFERENCE.png|P08-S05-MEO-SECONDARY.REFERENCE.png|P08-S05-BO-FRONT.REFERENCE.jpg|P08-S05-BO-SIDE.REFERENCE.jpg</x:v>
      </x:c>
    </x:row>
    <x:row r="65" ht="430" customHeight="1">
      <x:c r="A65" s="23" t="n">
        <x:v>64</x:v>
      </x:c>
      <x:c r="B65" s="24" t="str">
        <x:v>P08-S05-I005-S1-10B-F01</x:v>
      </x:c>
      <x:c r="C65" s="24" t="str">
        <x:v>Create a storyboard concept still for Pilot 8 source video I005-S1-10B, story 10B, frame F01 of 3, representing 0-2s.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moon latch glows. Cloud and star sliders remain closed. Bố holds the controls; Meo stands beside the lit path.
Exact frozen source action: Meo points from the glowing moon to the cloud symbol. Bố slides the middle cloud latch fully; it clicks, lights the second indicator and releases the top slider.
Show the opening physical state and every prop needed for the coming cause-and-effect.
Camera adapted from the approved moving shot into one readable still: one medium-wide continuity shot from the same Dream Train angle, keeping the latches and homeward door visible. No cuts.
Visible physics/mechanism: the mechanical interlock releases each next latch only after the previous one is seated; completing all three dependencies frees the door slider for controlled opening.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5" s="25" t="str">
        <x:v>P08-S05-MEO-PRIMARY.REFERENCE.png|P08-S05-MEO-SECONDARY.REFERENCE.png|P08-S05-BO-FRONT.REFERENCE.jpg|P08-S05-BO-SIDE.REFERENCE.jpg</x:v>
      </x:c>
    </x:row>
    <x:row r="66" ht="430" customHeight="1">
      <x:c r="A66" s="23" t="n">
        <x:v>65</x:v>
      </x:c>
      <x:c r="B66" s="24" t="str">
        <x:v>P08-S05-I005-S1-10B-F02</x:v>
      </x:c>
      <x:c r="C66" s="24" t="str">
        <x:v>Create a storyboard concept still for Pilot 8 source video I005-S1-10B, story 10B, frame F02 of 3, representing 2-7s.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moon latch glows. Cloud and star sliders remain closed. Bố holds the controls; Meo stands beside the lit path.
Exact frozen source action: Meo points to the star. Bố slides the top star latch into place. All three station symbols glow vertically. A release light appears along the seam. Bố keeps the side rail and slides the padded train door open slowly. Beyond it is a warm familiar home room in soft evening light, with dream colors glowing around the doorway.
Freeze the clearest readable instant of the approved causal mechanism, with Meo's observation and Bố's indispensable physical action visible together.
Camera adapted from the approved moving shot into one readable still: one medium-wide continuity shot from the same Dream Train angle, keeping the latches and homeward door visible. No cuts.
Visible physics/mechanism: the mechanical interlock releases each next latch only after the previous one is seated; completing all three dependencies frees the door slider for controlled opening.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6" s="25" t="str">
        <x:v>P08-S05-MEO-PRIMARY.REFERENCE.png|P08-S05-MEO-SECONDARY.REFERENCE.png|P08-S05-BO-FRONT.REFERENCE.jpg|P08-S05-BO-SIDE.REFERENCE.jpg</x:v>
      </x:c>
    </x:row>
    <x:row r="67" ht="430" customHeight="1">
      <x:c r="A67" s="26" t="n">
        <x:v>66</x:v>
      </x:c>
      <x:c r="B67" s="27" t="str">
        <x:v>P08-S05-I005-S1-10B-F03</x:v>
      </x:c>
      <x:c r="C67" s="27" t="str">
        <x:v>Create a storyboard concept still for Pilot 8 source video I005-S1-10B, story 10B, frame F03 of 3, representing 7-10s.
Create exactly one single 16:9 landscape still image, not a video and not a multi-panel storyboard.
Tab visual-style lock: Dreamlike cinematic 3D cartoon night-train fantasy with velvety clouds, lantern glow, rounded carriages, soft moonlit gradients, warm identity-faithful faces, and no photorealism.
Meo identity and completely new tab wardrobe: Five-year-old Vietnamese girl; identity-reference-faithful face; twin low pigtails with matte lilac bands; midnight-blue cropped conductor-style jacket with rounded silver piping and concealed snaps over a lilac crew T-shirt; rose-plum tailored mid-thigh shorts with flat crescent pockets; cream ankle socks; lilac-and-midnight Velcro sneakers with silver heel tabs. No copied reference/source clothing, skirt, long coat, scarf or loose accessory.
Bố identity and completely new tab wardrobe: Vietnamese father; identity-reference-faithful face; short black side-parted hair and small black-rimmed rectangular glasses; deep-teal short conductor-inspired cardigan jacket with flat moon-silver piping over a warm-ivory crew T-shirt; plum straight travel trousers; cream-and-rust low-top sneakers with teal soles. No copied reference/source clothing, long coat, dangling watch, scarf, luggage or sharp badge.
Use P08-S05-MEO-PRIMARY.REFERENCE.png, P08-S05-MEO-SECONDARY.REFERENCE.png, P08-S05-BO-FRONT.REFERENCE.jpg, and P08-S05-BO-SIDE.REFERENCE.jpg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
Scene/opening continuity from the approved source: the moon latch glows. Cloud and star sliders remain closed. Bố holds the controls; Meo stands beside the lit path.
Exact frozen source action: Bố locks the open door in its soft stop. Meo looks from the ten tiny station stars inside the train to the calm room beyond, and smiles at Bố. the Dream Train gives a farewell glow. Meo says in Vietnamese, with a warm five-year-old voice and clear, delighted delivery: “Bố ơi, mình về nhà rồi!” Keep the exact wording; do not translate it.
Show the approved Part B resolution and warm father-daughter closure without rendering dialogue as text.
Camera adapted from the approved moving shot into one readable still: one medium-wide continuity shot from the same Dream Train angle, keeping the latches and homeward door visible. No cuts.
Visible physics/mechanism: the mechanical interlock releases each next latch only after the previous one is seated; completing all three dependencies frees the door slider for controlled opening.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7" s="28" t="str">
        <x:v>P08-S05-MEO-PRIMARY.REFERENCE.png|P08-S05-MEO-SECONDARY.REFERENCE.png|P08-S05-BO-FRONT.REFERENCE.jpg|P08-S05-BO-SIDE.REFERENCE.jpg</x:v>
      </x:c>
    </x:row>
  </x:sheetData>
  <x:pageMargins left="0.7" right="0.7" top="0.75" bottom="0.75" header="0.3" footer="0.3"/>
  <x:legacyDrawing xmlns:r="http://schemas.openxmlformats.org/officeDocument/2006/relationships" r:id="R062f1e29f9c34663"/>
  <x:tableParts count="1">
    <x:tablePart xmlns:r="http://schemas.openxmlformats.org/officeDocument/2006/relationships" r:id="R54bd77d1037a4424"/>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0" hidden="0" customWidth="1"/>
    <x:col min="2" max="2" width="76" hidden="0" customWidth="1"/>
  </x:cols>
  <x:sheetData>
    <x:row r="1">
      <x:c r="A1" s="37" t="str">
        <x:v>key</x:v>
      </x:c>
      <x:c r="B1" s="38" t="str">
        <x:v>value</x:v>
      </x:c>
    </x:row>
    <x:row r="2">
      <x:c r="A2" s="39" t="str">
        <x:v>timeout_sec</x:v>
      </x:c>
      <x:c r="B2" s="40" t="str">
        <x:v>900</x:v>
      </x:c>
    </x:row>
    <x:row r="3">
      <x:c r="A3" s="39" t="str">
        <x:v>max_retries</x:v>
      </x:c>
      <x:c r="B3" s="40" t="str">
        <x:v>2</x:v>
      </x:c>
    </x:row>
    <x:row r="4">
      <x:c r="A4" s="39" t="str">
        <x:v>delay_min_sec</x:v>
      </x:c>
      <x:c r="B4" s="40" t="str">
        <x:v>18</x:v>
      </x:c>
    </x:row>
    <x:row r="5">
      <x:c r="A5" s="39" t="str">
        <x:v>delay_max_sec</x:v>
      </x:c>
      <x:c r="B5" s="40" t="str">
        <x:v>32</x:v>
      </x:c>
    </x:row>
    <x:row r="6">
      <x:c r="A6" s="39" t="str">
        <x:v>safety_cooldown_sec</x:v>
      </x:c>
      <x:c r="B6" s="40" t="str">
        <x:v>8-12</x:v>
      </x:c>
    </x:row>
    <x:row r="7">
      <x:c r="A7" s="39" t="str">
        <x:v>max_input_images</x:v>
      </x:c>
      <x:c r="B7" s="40" t="str">
        <x:v>5</x:v>
      </x:c>
    </x:row>
    <x:row r="8">
      <x:c r="A8" s="39" t="str">
        <x:v>continue_on_error</x:v>
      </x:c>
      <x:c r="B8" s="40" t="str">
        <x:v>false</x:v>
      </x:c>
    </x:row>
    <x:row r="9">
      <x:c r="A9" s="39" t="str">
        <x:v>rerun_done</x:v>
      </x:c>
      <x:c r="B9" s="40" t="str">
        <x:v>false</x:v>
      </x:c>
    </x:row>
    <x:row r="10">
      <x:c r="A10" s="39" t="str">
        <x:v>output_destination_mode</x:v>
      </x:c>
      <x:c r="B10" s="40" t="str">
        <x:v>downloads</x:v>
      </x:c>
    </x:row>
    <x:row r="11">
      <x:c r="A11" s="39" t="str">
        <x:v>output_downloads_subfolder</x:v>
      </x:c>
      <x:c r="B11" s="40" t="str">
        <x:v>Duc Auto ChatGPT/Pilot-08/S1-05</x:v>
      </x:c>
    </x:row>
    <x:row r="12">
      <x:c r="A12" s="39" t="str">
        <x:v>image_filename_pattern</x:v>
      </x:c>
      <x:c r="B12" s="40" t="str">
        <x:v>{job_id}</x:v>
      </x:c>
    </x:row>
    <x:row r="13">
      <x:c r="A13" s="39" t="str">
        <x:v>collision_policy</x:v>
      </x:c>
      <x:c r="B13" s="40" t="str">
        <x:v>uniquify</x:v>
      </x:c>
    </x:row>
    <x:row r="14">
      <x:c r="A14" s="39" t="str">
        <x:v>save_images</x:v>
      </x:c>
      <x:c r="B14" s="40" t="str">
        <x:v>true</x:v>
      </x:c>
    </x:row>
    <x:row r="15">
      <x:c r="A15" s="39" t="str">
        <x:v>save_result_xlsx</x:v>
      </x:c>
      <x:c r="B15" s="40" t="str">
        <x:v>true</x:v>
      </x:c>
    </x:row>
    <x:row r="16">
      <x:c r="A16" s="39" t="str">
        <x:v>save_audit_jsonl</x:v>
      </x:c>
      <x:c r="B16" s="40" t="str">
        <x:v>true</x:v>
      </x:c>
    </x:row>
    <x:row r="17">
      <x:c r="A17" s="39" t="str">
        <x:v>result_filename_pattern</x:v>
      </x:c>
      <x:c r="B17" s="40" t="str">
        <x:v>Pilot08-S05.IMAGE-QUEUE__results__v{version}.xlsx</x:v>
      </x:c>
    </x:row>
    <x:row r="18">
      <x:c r="A18" s="41" t="str">
        <x:v>audit_filename</x:v>
      </x:c>
      <x:c r="B18" s="42" t="str">
        <x:v>Pilot08-S05.IMAGE-QUEUE__audit.jsonl</x:v>
      </x:c>
    </x:row>
  </x:sheetData>
  <x:pageMargins left="0.7" right="0.7" top="0.75" bottom="0.75" header="0.3" footer="0.3"/>
  <x:legacyDrawing xmlns:r="http://schemas.openxmlformats.org/officeDocument/2006/relationships" r:id="R8e2d992282ad4112"/>
  <x:tableParts count="1">
    <x:tablePart xmlns:r="http://schemas.openxmlformats.org/officeDocument/2006/relationships" r:id="Raa484691a35b4fc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18" hidden="0" customWidth="1"/>
  </x:cols>
  <x:sheetData>
    <x:row r="1" ht="32" customHeight="1">
      <x:c r="A1" s="43" t="str">
        <x:v>Pilot 8 · S1_05 Dream Train · ChatGPT Visual Preproduction Queue</x:v>
      </x:c>
      <x:c r="B1" s="43"/>
    </x:row>
    <x:row r="3" ht="54" customHeight="1">
      <x:c r="A3" s="48" t="str">
        <x:v>Boundary</x:v>
      </x:c>
      <x:c r="B3" s="49" t="str">
        <x:v>PREPARE_INPUT_ONLY — no Extension, ChatGPT generation, Google Flow, or live submission.</x:v>
      </x:c>
    </x:row>
    <x:row r="4" ht="54" customHeight="1">
      <x:c r="A4" s="50" t="str">
        <x:v>Source</x:v>
      </x:c>
      <x:c r="B4" s="51" t="str">
        <x:v>Growing_with_Meo_V2_260817 · S1_05 Dream Train · sheetId 26081725</x:v>
      </x:c>
    </x:row>
    <x:row r="5" ht="54" customHeight="1">
      <x:c r="A5" s="50" t="str">
        <x:v>Source snapshot</x:v>
      </x:c>
      <x:c r="B5" s="51" t="str">
        <x:v>Pilot08-S05.SOURCE.csv · SHA-256 F31E44F7785F68C5C4A6CAB52FBE708D201C5284DBB8CC919A6E014521BA4D8D</x:v>
      </x:c>
    </x:row>
    <x:row r="6" ht="54" customHeight="1">
      <x:c r="A6" s="50" t="str">
        <x:v>Queue</x:v>
      </x:c>
      <x:c r="B6" s="51" t="str">
        <x:v>66 jobs = 6 concepts + 60 storyboard stills.</x:v>
      </x:c>
    </x:row>
    <x:row r="7" ht="54" customHeight="1">
      <x:c r="A7" s="50" t="str">
        <x:v>Timing schemas</x:v>
      </x:c>
      <x:c r="B7" s="51" t="str">
        <x:v>{"STANDARD_0-2_2-7_7-9_9-10":20}</x:v>
      </x:c>
    </x:row>
    <x:row r="8" ht="54" customHeight="1">
      <x:c r="A8" s="50" t="str">
        <x:v>Load 1</x:v>
      </x:c>
      <x:c r="B8" s="51" t="str">
        <x:v>Select this XLSX in Duc Auto ChatGPT.</x:v>
      </x:c>
    </x:row>
    <x:row r="9" ht="54" customHeight="1">
      <x:c r="A9" s="50" t="str">
        <x:v>Load 2</x:v>
      </x:c>
      <x:c r="B9" s="51" t="str">
        <x:v>Select the four exact files in references/.</x:v>
      </x:c>
    </x:row>
    <x:row r="10" ht="54" customHeight="1">
      <x:c r="A10" s="50" t="str">
        <x:v>Load 3</x:v>
      </x:c>
      <x:c r="B10" s="51" t="str">
        <x:v>Run Check Plan only; confirm 66 jobs, 4 references and output Duc Auto ChatGPT/Pilot-08/S1-05.</x:v>
      </x:c>
    </x:row>
    <x:row r="11" ht="54" customHeight="1">
      <x:c r="A11" s="50" t="str">
        <x:v>Load 4</x:v>
      </x:c>
      <x:c r="B11" s="51" t="str">
        <x:v>Review the completely new tab wardrobe, then wait for owner acceptance before any run.</x:v>
      </x:c>
    </x:row>
    <x:row r="12" ht="94" customHeight="1">
      <x:c r="A12" s="50" t="str">
        <x:v>Reference precedence</x:v>
      </x:c>
      <x:c r="B12" s="51" t="str">
        <x:v>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x:v>
      </x:c>
    </x:row>
    <x:row r="13" ht="94" customHeight="1">
      <x:c r="A13" s="50" t="str">
        <x:v>New wardrobe</x:v>
      </x:c>
      <x:c r="B13" s="51" t="str">
        <x:v>Owner instruction applied: redesign clothing completely from scratch to fit this series; keep the approved new outfit unchanged across all 66 prompts. Dream Train night travelers: cozy streamlined conductor-inspired layers with crescent and rail piping, secure hems and soft travel-ready shoes; no long coats, dangling watches, loose scarves, luggage or sharp badges. Meo midnight blue, lilac, rose, silver and cream; Bố deep teal, warm ivory, plum, moon-silver and rust.</x:v>
      </x:c>
    </x:row>
    <x:row r="14" ht="94" customHeight="1">
      <x:c r="A14" s="50" t="str">
        <x:v>Supporting characters</x:v>
      </x:c>
      <x:c r="B14" s="51" t="str">
        <x:v>Preserve only named supporting characters explicitly authorized by the exact source video prompt, repeat their full source description in affected storyboard prompts, and prohibit unapproved extra characters. Lead character concepts remain the six Meo/Bố jobs.</x:v>
      </x:c>
    </x:row>
    <x:row r="15" ht="54" customHeight="1">
      <x:c r="A15" s="50" t="str">
        <x:v>Safety stop</x:v>
      </x:c>
      <x:c r="B15" s="51" t="str">
        <x:v>Stop for CAPTCHA/security warning, unresolved reference, ambiguous submission state, or persistence failure.</x:v>
      </x:c>
    </x:row>
    <x:row r="16" ht="54" customHeight="1">
      <x:c r="A16" s="50" t="str">
        <x:v>Naming</x:v>
      </x:c>
      <x:c r="B16" s="51" t="str">
        <x:v>Output stem equals job ID; runner owns result/status columns.</x:v>
      </x:c>
    </x:row>
    <x:row r="17" ht="54" customHeight="1">
      <x:c r="A17" s="52" t="str">
        <x:v>Status</x:v>
      </x:c>
      <x:c r="B17" s="53" t="str">
        <x:v>READY_FOR_OWNER_REVIEW — live submissions 0.</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22" hidden="0" customWidth="1"/>
    <x:col min="4" max="4" width="24" hidden="0" customWidth="1"/>
    <x:col min="5" max="5" width="12" hidden="0" customWidth="1"/>
    <x:col min="6" max="6" width="8" hidden="0" customWidth="1"/>
    <x:col min="7" max="7" width="34" hidden="0" customWidth="1"/>
    <x:col min="8" max="8" width="20" hidden="0" customWidth="1"/>
    <x:col min="9" max="9" width="14" hidden="0" customWidth="1"/>
    <x:col min="10" max="10" width="34" hidden="0" customWidth="1"/>
    <x:col min="11" max="11" width="28" hidden="0" customWidth="1"/>
    <x:col min="12" max="12" width="72" hidden="0" customWidth="1"/>
    <x:col min="13" max="13" width="42" hidden="0" customWidth="1"/>
    <x:col min="14" max="14" width="12" hidden="0" customWidth="1"/>
  </x:cols>
  <x:sheetData>
    <x:row r="1">
      <x:c r="A1" s="37" t="str">
        <x:v>sequence</x:v>
      </x:c>
      <x:c r="B1" s="56" t="str">
        <x:v>job_id</x:v>
      </x:c>
      <x:c r="C1" s="56" t="str">
        <x:v>phase</x:v>
      </x:c>
      <x:c r="D1" s="56" t="str">
        <x:v>source_video_id</x:v>
      </x:c>
      <x:c r="E1" s="56" t="str">
        <x:v>story_number</x:v>
      </x:c>
      <x:c r="F1" s="56" t="str">
        <x:v>part</x:v>
      </x:c>
      <x:c r="G1" s="56" t="str">
        <x:v>title</x:v>
      </x:c>
      <x:c r="H1" s="56" t="str">
        <x:v>frame</x:v>
      </x:c>
      <x:c r="I1" s="56" t="str">
        <x:v>frame_time</x:v>
      </x:c>
      <x:c r="J1" s="56" t="str">
        <x:v>timing_schema</x:v>
      </x:c>
      <x:c r="K1" s="56" t="str">
        <x:v>purpose</x:v>
      </x:c>
      <x:c r="L1" s="56" t="str">
        <x:v>reference_images</x:v>
      </x:c>
      <x:c r="M1" s="56" t="str">
        <x:v>expected_output_stem</x:v>
      </x:c>
      <x:c r="N1" s="38" t="str">
        <x:v>qc_status</x:v>
      </x:c>
    </x:row>
    <x:row r="2" ht="78" customHeight="1">
      <x:c r="A2" s="57" t="n">
        <x:v>1</x:v>
      </x:c>
      <x:c r="B2" s="24" t="str">
        <x:v>P08-S05-C01-MEO-FRONT</x:v>
      </x:c>
      <x:c r="C2" s="24" t="str">
        <x:v>CHARACTER_CONCEPT</x:v>
      </x:c>
      <x:c r="D2" s="24" t="str">
        <x:v>CHARACTER_LOCK</x:v>
      </x:c>
      <x:c r="E2" s="24" t="str"/>
      <x:c r="F2" s="24" t="str"/>
      <x:c r="G2" s="24" t="str">
        <x:v>Meo</x:v>
      </x:c>
      <x:c r="H2" s="24" t="str">
        <x:v>FRONT</x:v>
      </x:c>
      <x:c r="I2" s="24" t="str">
        <x:v>N/A</x:v>
      </x:c>
      <x:c r="J2" s="24" t="str">
        <x:v>N/A</x:v>
      </x:c>
      <x:c r="K2" s="24" t="str">
        <x:v>Independent full-body front definition</x:v>
      </x:c>
      <x:c r="L2" s="24" t="str">
        <x:v>P08-S05-MEO-PRIMARY.REFERENCE.png|P08-S05-MEO-SECONDARY.REFERENCE.png</x:v>
      </x:c>
      <x:c r="M2" s="24" t="str">
        <x:v>P08-S05-C01-MEO-FRONT</x:v>
      </x:c>
      <x:c r="N2" s="25" t="str">
        <x:v>PASS</x:v>
      </x:c>
    </x:row>
    <x:row r="3" ht="78" customHeight="1">
      <x:c r="A3" s="57" t="n">
        <x:v>2</x:v>
      </x:c>
      <x:c r="B3" s="24" t="str">
        <x:v>P08-S05-C02-MEO-SIDE</x:v>
      </x:c>
      <x:c r="C3" s="24" t="str">
        <x:v>CHARACTER_CONCEPT</x:v>
      </x:c>
      <x:c r="D3" s="24" t="str">
        <x:v>CHARACTER_LOCK</x:v>
      </x:c>
      <x:c r="E3" s="24" t="str"/>
      <x:c r="F3" s="24" t="str"/>
      <x:c r="G3" s="24" t="str">
        <x:v>Meo</x:v>
      </x:c>
      <x:c r="H3" s="24" t="str">
        <x:v>SIDE</x:v>
      </x:c>
      <x:c r="I3" s="24" t="str">
        <x:v>N/A</x:v>
      </x:c>
      <x:c r="J3" s="24" t="str">
        <x:v>N/A</x:v>
      </x:c>
      <x:c r="K3" s="24" t="str">
        <x:v>Independent full-body side definition</x:v>
      </x:c>
      <x:c r="L3" s="24" t="str">
        <x:v>P08-S05-MEO-PRIMARY.REFERENCE.png|P08-S05-MEO-SECONDARY.REFERENCE.png</x:v>
      </x:c>
      <x:c r="M3" s="24" t="str">
        <x:v>P08-S05-C02-MEO-SIDE</x:v>
      </x:c>
      <x:c r="N3" s="25" t="str">
        <x:v>PASS</x:v>
      </x:c>
    </x:row>
    <x:row r="4" ht="78" customHeight="1">
      <x:c r="A4" s="57" t="n">
        <x:v>3</x:v>
      </x:c>
      <x:c r="B4" s="24" t="str">
        <x:v>P08-S05-C03-BO-FRONT</x:v>
      </x:c>
      <x:c r="C4" s="24" t="str">
        <x:v>CHARACTER_CONCEPT</x:v>
      </x:c>
      <x:c r="D4" s="24" t="str">
        <x:v>CHARACTER_LOCK</x:v>
      </x:c>
      <x:c r="E4" s="24" t="str"/>
      <x:c r="F4" s="24" t="str"/>
      <x:c r="G4" s="24" t="str">
        <x:v>Bố</x:v>
      </x:c>
      <x:c r="H4" s="24" t="str">
        <x:v>FRONT</x:v>
      </x:c>
      <x:c r="I4" s="24" t="str">
        <x:v>N/A</x:v>
      </x:c>
      <x:c r="J4" s="24" t="str">
        <x:v>N/A</x:v>
      </x:c>
      <x:c r="K4" s="24" t="str">
        <x:v>Independent full-body front definition</x:v>
      </x:c>
      <x:c r="L4" s="24" t="str">
        <x:v>P08-S05-BO-FRONT.REFERENCE.jpg|P08-S05-BO-SIDE.REFERENCE.jpg</x:v>
      </x:c>
      <x:c r="M4" s="24" t="str">
        <x:v>P08-S05-C03-BO-FRONT</x:v>
      </x:c>
      <x:c r="N4" s="25" t="str">
        <x:v>PASS</x:v>
      </x:c>
    </x:row>
    <x:row r="5" ht="78" customHeight="1">
      <x:c r="A5" s="57" t="n">
        <x:v>4</x:v>
      </x:c>
      <x:c r="B5" s="24" t="str">
        <x:v>P08-S05-C04-BO-SIDE</x:v>
      </x:c>
      <x:c r="C5" s="24" t="str">
        <x:v>CHARACTER_CONCEPT</x:v>
      </x:c>
      <x:c r="D5" s="24" t="str">
        <x:v>CHARACTER_LOCK</x:v>
      </x:c>
      <x:c r="E5" s="24" t="str"/>
      <x:c r="F5" s="24" t="str"/>
      <x:c r="G5" s="24" t="str">
        <x:v>Bố</x:v>
      </x:c>
      <x:c r="H5" s="24" t="str">
        <x:v>SIDE</x:v>
      </x:c>
      <x:c r="I5" s="24" t="str">
        <x:v>N/A</x:v>
      </x:c>
      <x:c r="J5" s="24" t="str">
        <x:v>N/A</x:v>
      </x:c>
      <x:c r="K5" s="24" t="str">
        <x:v>Independent full-body side definition</x:v>
      </x:c>
      <x:c r="L5" s="24" t="str">
        <x:v>P08-S05-BO-FRONT.REFERENCE.jpg|P08-S05-BO-SIDE.REFERENCE.jpg</x:v>
      </x:c>
      <x:c r="M5" s="24" t="str">
        <x:v>P08-S05-C04-BO-SIDE</x:v>
      </x:c>
      <x:c r="N5" s="25" t="str">
        <x:v>PASS</x:v>
      </x:c>
    </x:row>
    <x:row r="6" ht="78" customHeight="1">
      <x:c r="A6" s="57" t="n">
        <x:v>5</x:v>
      </x:c>
      <x:c r="B6" s="24" t="str">
        <x:v>P08-S05-C05-DUO-FRONT</x:v>
      </x:c>
      <x:c r="C6" s="24" t="str">
        <x:v>CHARACTER_CONCEPT</x:v>
      </x:c>
      <x:c r="D6" s="24" t="str">
        <x:v>CHARACTER_LOCK</x:v>
      </x:c>
      <x:c r="E6" s="24" t="str"/>
      <x:c r="F6" s="24" t="str"/>
      <x:c r="G6" s="24" t="str">
        <x:v>Meo + Bố</x:v>
      </x:c>
      <x:c r="H6" s="24" t="str">
        <x:v>DUO_FRONT</x:v>
      </x:c>
      <x:c r="I6" s="24" t="str">
        <x:v>N/A</x:v>
      </x:c>
      <x:c r="J6" s="24" t="str">
        <x:v>N/A</x:v>
      </x:c>
      <x:c r="K6" s="24" t="str">
        <x:v>Shared front scale and relationship definition</x:v>
      </x:c>
      <x:c r="L6" s="24" t="str">
        <x:v>P08-S05-MEO-PRIMARY.REFERENCE.png|P08-S05-MEO-SECONDARY.REFERENCE.png|P08-S05-BO-FRONT.REFERENCE.jpg|P08-S05-BO-SIDE.REFERENCE.jpg</x:v>
      </x:c>
      <x:c r="M6" s="24" t="str">
        <x:v>P08-S05-C05-DUO-FRONT</x:v>
      </x:c>
      <x:c r="N6" s="25" t="str">
        <x:v>PASS</x:v>
      </x:c>
    </x:row>
    <x:row r="7" ht="78" customHeight="1">
      <x:c r="A7" s="57" t="n">
        <x:v>6</x:v>
      </x:c>
      <x:c r="B7" s="24" t="str">
        <x:v>P08-S05-C06-DUO-THREEQ</x:v>
      </x:c>
      <x:c r="C7" s="24" t="str">
        <x:v>CHARACTER_CONCEPT</x:v>
      </x:c>
      <x:c r="D7" s="24" t="str">
        <x:v>CHARACTER_LOCK</x:v>
      </x:c>
      <x:c r="E7" s="24" t="str"/>
      <x:c r="F7" s="24" t="str"/>
      <x:c r="G7" s="24" t="str">
        <x:v>Meo + Bố</x:v>
      </x:c>
      <x:c r="H7" s="24" t="str">
        <x:v>DUO_THREE_QUARTER</x:v>
      </x:c>
      <x:c r="I7" s="24" t="str">
        <x:v>N/A</x:v>
      </x:c>
      <x:c r="J7" s="24" t="str">
        <x:v>N/A</x:v>
      </x:c>
      <x:c r="K7" s="24" t="str">
        <x:v>Shared three-quarter teamwork definition</x:v>
      </x:c>
      <x:c r="L7" s="24" t="str">
        <x:v>P08-S05-MEO-PRIMARY.REFERENCE.png|P08-S05-MEO-SECONDARY.REFERENCE.png|P08-S05-BO-FRONT.REFERENCE.jpg|P08-S05-BO-SIDE.REFERENCE.jpg</x:v>
      </x:c>
      <x:c r="M7" s="24" t="str">
        <x:v>P08-S05-C06-DUO-THREEQ</x:v>
      </x:c>
      <x:c r="N7" s="25" t="str">
        <x:v>PASS</x:v>
      </x:c>
    </x:row>
    <x:row r="8" ht="78" customHeight="1">
      <x:c r="A8" s="57" t="n">
        <x:v>7</x:v>
      </x:c>
      <x:c r="B8" s="24" t="str">
        <x:v>P08-S05-I005-S1-01A-F01</x:v>
      </x:c>
      <x:c r="C8" s="24" t="str">
        <x:v>STORYBOARD</x:v>
      </x:c>
      <x:c r="D8" s="24" t="str">
        <x:v>I005-S1-01A</x:v>
      </x:c>
      <x:c r="E8" s="24" t="str">
        <x:v>1</x:v>
      </x:c>
      <x:c r="F8" s="24" t="str">
        <x:v>A</x:v>
      </x:c>
      <x:c r="G8" s="24" t="str">
        <x:v>Ga vòng quay mây</x:v>
      </x:c>
      <x:c r="H8" s="24" t="str">
        <x:v>F01</x:v>
      </x:c>
      <x:c r="I8" s="24" t="str">
        <x:v>0-2s</x:v>
      </x:c>
      <x:c r="J8" s="24" t="str">
        <x:v>STANDARD_0-2_2-7_7-9_9-10</x:v>
      </x:c>
      <x:c r="K8" s="24" t="str">
        <x:v>OPENING</x:v>
      </x:c>
      <x:c r="L8" s="24" t="str">
        <x:v>P08-S05-MEO-PRIMARY.REFERENCE.png|P08-S05-MEO-SECONDARY.REFERENCE.png|P08-S05-BO-FRONT.REFERENCE.jpg|P08-S05-BO-SIDE.REFERENCE.jpg</x:v>
      </x:c>
      <x:c r="M8" s="24" t="str">
        <x:v>P08-S05-I005-S1-01A-F01</x:v>
      </x:c>
      <x:c r="N8" s="25" t="str">
        <x:v>PASS</x:v>
      </x:c>
    </x:row>
    <x:row r="9" ht="78" customHeight="1">
      <x:c r="A9" s="57" t="n">
        <x:v>8</x:v>
      </x:c>
      <x:c r="B9" s="24" t="str">
        <x:v>P08-S05-I005-S1-01A-F02</x:v>
      </x:c>
      <x:c r="C9" s="24" t="str">
        <x:v>STORYBOARD</x:v>
      </x:c>
      <x:c r="D9" s="24" t="str">
        <x:v>I005-S1-01A</x:v>
      </x:c>
      <x:c r="E9" s="24" t="str">
        <x:v>1</x:v>
      </x:c>
      <x:c r="F9" s="24" t="str">
        <x:v>A</x:v>
      </x:c>
      <x:c r="G9" s="24" t="str">
        <x:v>Ga vòng quay mây</x:v>
      </x:c>
      <x:c r="H9" s="24" t="str">
        <x:v>F02</x:v>
      </x:c>
      <x:c r="I9" s="24" t="str">
        <x:v>2-7s</x:v>
      </x:c>
      <x:c r="J9" s="24" t="str">
        <x:v>STANDARD_0-2_2-7_7-9_9-10</x:v>
      </x:c>
      <x:c r="K9" s="24" t="str">
        <x:v>CAUSAL_ACTION</x:v>
      </x:c>
      <x:c r="L9" s="24" t="str">
        <x:v>P08-S05-MEO-PRIMARY.REFERENCE.png|P08-S05-MEO-SECONDARY.REFERENCE.png|P08-S05-BO-FRONT.REFERENCE.jpg|P08-S05-BO-SIDE.REFERENCE.jpg</x:v>
      </x:c>
      <x:c r="M9" s="24" t="str">
        <x:v>P08-S05-I005-S1-01A-F02</x:v>
      </x:c>
      <x:c r="N9" s="25" t="str">
        <x:v>PASS</x:v>
      </x:c>
    </x:row>
    <x:row r="10" ht="78" customHeight="1">
      <x:c r="A10" s="57" t="n">
        <x:v>9</x:v>
      </x:c>
      <x:c r="B10" s="24" t="str">
        <x:v>P08-S05-I005-S1-01A-F03</x:v>
      </x:c>
      <x:c r="C10" s="24" t="str">
        <x:v>STORYBOARD</x:v>
      </x:c>
      <x:c r="D10" s="24" t="str">
        <x:v>I005-S1-01A</x:v>
      </x:c>
      <x:c r="E10" s="24" t="str">
        <x:v>1</x:v>
      </x:c>
      <x:c r="F10" s="24" t="str">
        <x:v>A</x:v>
      </x:c>
      <x:c r="G10" s="24" t="str">
        <x:v>Ga vòng quay mây</x:v>
      </x:c>
      <x:c r="H10" s="24" t="str">
        <x:v>F03</x:v>
      </x:c>
      <x:c r="I10" s="24" t="str">
        <x:v>7-10s</x:v>
      </x:c>
      <x:c r="J10" s="24" t="str">
        <x:v>STANDARD_0-2_2-7_7-9_9-10</x:v>
      </x:c>
      <x:c r="K10" s="24" t="str">
        <x:v>CLOSING_STATE</x:v>
      </x:c>
      <x:c r="L10" s="24" t="str">
        <x:v>P08-S05-MEO-PRIMARY.REFERENCE.png|P08-S05-MEO-SECONDARY.REFERENCE.png|P08-S05-BO-FRONT.REFERENCE.jpg|P08-S05-BO-SIDE.REFERENCE.jpg</x:v>
      </x:c>
      <x:c r="M10" s="24" t="str">
        <x:v>P08-S05-I005-S1-01A-F03</x:v>
      </x:c>
      <x:c r="N10" s="25" t="str">
        <x:v>PASS</x:v>
      </x:c>
    </x:row>
    <x:row r="11" ht="78" customHeight="1">
      <x:c r="A11" s="57" t="n">
        <x:v>10</x:v>
      </x:c>
      <x:c r="B11" s="24" t="str">
        <x:v>P08-S05-I005-S1-01B-F01</x:v>
      </x:c>
      <x:c r="C11" s="24" t="str">
        <x:v>STORYBOARD</x:v>
      </x:c>
      <x:c r="D11" s="24" t="str">
        <x:v>I005-S1-01B</x:v>
      </x:c>
      <x:c r="E11" s="24" t="str">
        <x:v>1</x:v>
      </x:c>
      <x:c r="F11" s="24" t="str">
        <x:v>B</x:v>
      </x:c>
      <x:c r="G11" s="24" t="str">
        <x:v>Ga vòng quay mây</x:v>
      </x:c>
      <x:c r="H11" s="24" t="str">
        <x:v>F01</x:v>
      </x:c>
      <x:c r="I11" s="24" t="str">
        <x:v>0-2s</x:v>
      </x:c>
      <x:c r="J11" s="24" t="str">
        <x:v>STANDARD_0-2_2-7_7-9_9-10</x:v>
      </x:c>
      <x:c r="K11" s="24" t="str">
        <x:v>OPENING</x:v>
      </x:c>
      <x:c r="L11" s="24" t="str">
        <x:v>P08-S05-MEO-PRIMARY.REFERENCE.png|P08-S05-MEO-SECONDARY.REFERENCE.png|P08-S05-BO-FRONT.REFERENCE.jpg|P08-S05-BO-SIDE.REFERENCE.jpg</x:v>
      </x:c>
      <x:c r="M11" s="24" t="str">
        <x:v>P08-S05-I005-S1-01B-F01</x:v>
      </x:c>
      <x:c r="N11" s="25" t="str">
        <x:v>PASS</x:v>
      </x:c>
    </x:row>
    <x:row r="12" ht="78" customHeight="1">
      <x:c r="A12" s="57" t="n">
        <x:v>11</x:v>
      </x:c>
      <x:c r="B12" s="24" t="str">
        <x:v>P08-S05-I005-S1-01B-F02</x:v>
      </x:c>
      <x:c r="C12" s="24" t="str">
        <x:v>STORYBOARD</x:v>
      </x:c>
      <x:c r="D12" s="24" t="str">
        <x:v>I005-S1-01B</x:v>
      </x:c>
      <x:c r="E12" s="24" t="str">
        <x:v>1</x:v>
      </x:c>
      <x:c r="F12" s="24" t="str">
        <x:v>B</x:v>
      </x:c>
      <x:c r="G12" s="24" t="str">
        <x:v>Ga vòng quay mây</x:v>
      </x:c>
      <x:c r="H12" s="24" t="str">
        <x:v>F02</x:v>
      </x:c>
      <x:c r="I12" s="24" t="str">
        <x:v>2-7s</x:v>
      </x:c>
      <x:c r="J12" s="24" t="str">
        <x:v>STANDARD_0-2_2-7_7-9_9-10</x:v>
      </x:c>
      <x:c r="K12" s="24" t="str">
        <x:v>CAUSAL_ACTION</x:v>
      </x:c>
      <x:c r="L12" s="24" t="str">
        <x:v>P08-S05-MEO-PRIMARY.REFERENCE.png|P08-S05-MEO-SECONDARY.REFERENCE.png|P08-S05-BO-FRONT.REFERENCE.jpg|P08-S05-BO-SIDE.REFERENCE.jpg</x:v>
      </x:c>
      <x:c r="M12" s="24" t="str">
        <x:v>P08-S05-I005-S1-01B-F02</x:v>
      </x:c>
      <x:c r="N12" s="25" t="str">
        <x:v>PASS</x:v>
      </x:c>
    </x:row>
    <x:row r="13" ht="78" customHeight="1">
      <x:c r="A13" s="57" t="n">
        <x:v>12</x:v>
      </x:c>
      <x:c r="B13" s="24" t="str">
        <x:v>P08-S05-I005-S1-01B-F03</x:v>
      </x:c>
      <x:c r="C13" s="24" t="str">
        <x:v>STORYBOARD</x:v>
      </x:c>
      <x:c r="D13" s="24" t="str">
        <x:v>I005-S1-01B</x:v>
      </x:c>
      <x:c r="E13" s="24" t="str">
        <x:v>1</x:v>
      </x:c>
      <x:c r="F13" s="24" t="str">
        <x:v>B</x:v>
      </x:c>
      <x:c r="G13" s="24" t="str">
        <x:v>Ga vòng quay mây</x:v>
      </x:c>
      <x:c r="H13" s="24" t="str">
        <x:v>F03</x:v>
      </x:c>
      <x:c r="I13" s="24" t="str">
        <x:v>7-10s</x:v>
      </x:c>
      <x:c r="J13" s="24" t="str">
        <x:v>STANDARD_0-2_2-7_7-9_9-10</x:v>
      </x:c>
      <x:c r="K13" s="24" t="str">
        <x:v>CLOSING_STATE</x:v>
      </x:c>
      <x:c r="L13" s="24" t="str">
        <x:v>P08-S05-MEO-PRIMARY.REFERENCE.png|P08-S05-MEO-SECONDARY.REFERENCE.png|P08-S05-BO-FRONT.REFERENCE.jpg|P08-S05-BO-SIDE.REFERENCE.jpg</x:v>
      </x:c>
      <x:c r="M13" s="24" t="str">
        <x:v>P08-S05-I005-S1-01B-F03</x:v>
      </x:c>
      <x:c r="N13" s="25" t="str">
        <x:v>PASS</x:v>
      </x:c>
    </x:row>
    <x:row r="14" ht="78" customHeight="1">
      <x:c r="A14" s="57" t="n">
        <x:v>13</x:v>
      </x:c>
      <x:c r="B14" s="24" t="str">
        <x:v>P08-S05-I005-S1-02A-F01</x:v>
      </x:c>
      <x:c r="C14" s="24" t="str">
        <x:v>STORYBOARD</x:v>
      </x:c>
      <x:c r="D14" s="24" t="str">
        <x:v>I005-S1-02A</x:v>
      </x:c>
      <x:c r="E14" s="24" t="str">
        <x:v>2</x:v>
      </x:c>
      <x:c r="F14" s="24" t="str">
        <x:v>A</x:v>
      </x:c>
      <x:c r="G14" s="24" t="str">
        <x:v>Ga sông đèn lồng</x:v>
      </x:c>
      <x:c r="H14" s="24" t="str">
        <x:v>F01</x:v>
      </x:c>
      <x:c r="I14" s="24" t="str">
        <x:v>0-2s</x:v>
      </x:c>
      <x:c r="J14" s="24" t="str">
        <x:v>STANDARD_0-2_2-7_7-9_9-10</x:v>
      </x:c>
      <x:c r="K14" s="24" t="str">
        <x:v>OPENING</x:v>
      </x:c>
      <x:c r="L14" s="24" t="str">
        <x:v>P08-S05-MEO-PRIMARY.REFERENCE.png|P08-S05-MEO-SECONDARY.REFERENCE.png|P08-S05-BO-FRONT.REFERENCE.jpg|P08-S05-BO-SIDE.REFERENCE.jpg</x:v>
      </x:c>
      <x:c r="M14" s="24" t="str">
        <x:v>P08-S05-I005-S1-02A-F01</x:v>
      </x:c>
      <x:c r="N14" s="25" t="str">
        <x:v>PASS</x:v>
      </x:c>
    </x:row>
    <x:row r="15" ht="78" customHeight="1">
      <x:c r="A15" s="57" t="n">
        <x:v>14</x:v>
      </x:c>
      <x:c r="B15" s="24" t="str">
        <x:v>P08-S05-I005-S1-02A-F02</x:v>
      </x:c>
      <x:c r="C15" s="24" t="str">
        <x:v>STORYBOARD</x:v>
      </x:c>
      <x:c r="D15" s="24" t="str">
        <x:v>I005-S1-02A</x:v>
      </x:c>
      <x:c r="E15" s="24" t="str">
        <x:v>2</x:v>
      </x:c>
      <x:c r="F15" s="24" t="str">
        <x:v>A</x:v>
      </x:c>
      <x:c r="G15" s="24" t="str">
        <x:v>Ga sông đèn lồng</x:v>
      </x:c>
      <x:c r="H15" s="24" t="str">
        <x:v>F02</x:v>
      </x:c>
      <x:c r="I15" s="24" t="str">
        <x:v>2-7s</x:v>
      </x:c>
      <x:c r="J15" s="24" t="str">
        <x:v>STANDARD_0-2_2-7_7-9_9-10</x:v>
      </x:c>
      <x:c r="K15" s="24" t="str">
        <x:v>CAUSAL_ACTION</x:v>
      </x:c>
      <x:c r="L15" s="24" t="str">
        <x:v>P08-S05-MEO-PRIMARY.REFERENCE.png|P08-S05-MEO-SECONDARY.REFERENCE.png|P08-S05-BO-FRONT.REFERENCE.jpg|P08-S05-BO-SIDE.REFERENCE.jpg</x:v>
      </x:c>
      <x:c r="M15" s="24" t="str">
        <x:v>P08-S05-I005-S1-02A-F02</x:v>
      </x:c>
      <x:c r="N15" s="25" t="str">
        <x:v>PASS</x:v>
      </x:c>
    </x:row>
    <x:row r="16" ht="78" customHeight="1">
      <x:c r="A16" s="57" t="n">
        <x:v>15</x:v>
      </x:c>
      <x:c r="B16" s="24" t="str">
        <x:v>P08-S05-I005-S1-02A-F03</x:v>
      </x:c>
      <x:c r="C16" s="24" t="str">
        <x:v>STORYBOARD</x:v>
      </x:c>
      <x:c r="D16" s="24" t="str">
        <x:v>I005-S1-02A</x:v>
      </x:c>
      <x:c r="E16" s="24" t="str">
        <x:v>2</x:v>
      </x:c>
      <x:c r="F16" s="24" t="str">
        <x:v>A</x:v>
      </x:c>
      <x:c r="G16" s="24" t="str">
        <x:v>Ga sông đèn lồng</x:v>
      </x:c>
      <x:c r="H16" s="24" t="str">
        <x:v>F03</x:v>
      </x:c>
      <x:c r="I16" s="24" t="str">
        <x:v>7-10s</x:v>
      </x:c>
      <x:c r="J16" s="24" t="str">
        <x:v>STANDARD_0-2_2-7_7-9_9-10</x:v>
      </x:c>
      <x:c r="K16" s="24" t="str">
        <x:v>CLOSING_STATE</x:v>
      </x:c>
      <x:c r="L16" s="24" t="str">
        <x:v>P08-S05-MEO-PRIMARY.REFERENCE.png|P08-S05-MEO-SECONDARY.REFERENCE.png|P08-S05-BO-FRONT.REFERENCE.jpg|P08-S05-BO-SIDE.REFERENCE.jpg</x:v>
      </x:c>
      <x:c r="M16" s="24" t="str">
        <x:v>P08-S05-I005-S1-02A-F03</x:v>
      </x:c>
      <x:c r="N16" s="25" t="str">
        <x:v>PASS</x:v>
      </x:c>
    </x:row>
    <x:row r="17" ht="78" customHeight="1">
      <x:c r="A17" s="57" t="n">
        <x:v>16</x:v>
      </x:c>
      <x:c r="B17" s="24" t="str">
        <x:v>P08-S05-I005-S1-02B-F01</x:v>
      </x:c>
      <x:c r="C17" s="24" t="str">
        <x:v>STORYBOARD</x:v>
      </x:c>
      <x:c r="D17" s="24" t="str">
        <x:v>I005-S1-02B</x:v>
      </x:c>
      <x:c r="E17" s="24" t="str">
        <x:v>2</x:v>
      </x:c>
      <x:c r="F17" s="24" t="str">
        <x:v>B</x:v>
      </x:c>
      <x:c r="G17" s="24" t="str">
        <x:v>Ga sông đèn lồng</x:v>
      </x:c>
      <x:c r="H17" s="24" t="str">
        <x:v>F01</x:v>
      </x:c>
      <x:c r="I17" s="24" t="str">
        <x:v>0-2s</x:v>
      </x:c>
      <x:c r="J17" s="24" t="str">
        <x:v>STANDARD_0-2_2-7_7-9_9-10</x:v>
      </x:c>
      <x:c r="K17" s="24" t="str">
        <x:v>OPENING</x:v>
      </x:c>
      <x:c r="L17" s="24" t="str">
        <x:v>P08-S05-MEO-PRIMARY.REFERENCE.png|P08-S05-MEO-SECONDARY.REFERENCE.png|P08-S05-BO-FRONT.REFERENCE.jpg|P08-S05-BO-SIDE.REFERENCE.jpg</x:v>
      </x:c>
      <x:c r="M17" s="24" t="str">
        <x:v>P08-S05-I005-S1-02B-F01</x:v>
      </x:c>
      <x:c r="N17" s="25" t="str">
        <x:v>PASS</x:v>
      </x:c>
    </x:row>
    <x:row r="18" ht="78" customHeight="1">
      <x:c r="A18" s="57" t="n">
        <x:v>17</x:v>
      </x:c>
      <x:c r="B18" s="24" t="str">
        <x:v>P08-S05-I005-S1-02B-F02</x:v>
      </x:c>
      <x:c r="C18" s="24" t="str">
        <x:v>STORYBOARD</x:v>
      </x:c>
      <x:c r="D18" s="24" t="str">
        <x:v>I005-S1-02B</x:v>
      </x:c>
      <x:c r="E18" s="24" t="str">
        <x:v>2</x:v>
      </x:c>
      <x:c r="F18" s="24" t="str">
        <x:v>B</x:v>
      </x:c>
      <x:c r="G18" s="24" t="str">
        <x:v>Ga sông đèn lồng</x:v>
      </x:c>
      <x:c r="H18" s="24" t="str">
        <x:v>F02</x:v>
      </x:c>
      <x:c r="I18" s="24" t="str">
        <x:v>2-7s</x:v>
      </x:c>
      <x:c r="J18" s="24" t="str">
        <x:v>STANDARD_0-2_2-7_7-9_9-10</x:v>
      </x:c>
      <x:c r="K18" s="24" t="str">
        <x:v>CAUSAL_ACTION</x:v>
      </x:c>
      <x:c r="L18" s="24" t="str">
        <x:v>P08-S05-MEO-PRIMARY.REFERENCE.png|P08-S05-MEO-SECONDARY.REFERENCE.png|P08-S05-BO-FRONT.REFERENCE.jpg|P08-S05-BO-SIDE.REFERENCE.jpg</x:v>
      </x:c>
      <x:c r="M18" s="24" t="str">
        <x:v>P08-S05-I005-S1-02B-F02</x:v>
      </x:c>
      <x:c r="N18" s="25" t="str">
        <x:v>PASS</x:v>
      </x:c>
    </x:row>
    <x:row r="19" ht="78" customHeight="1">
      <x:c r="A19" s="57" t="n">
        <x:v>18</x:v>
      </x:c>
      <x:c r="B19" s="24" t="str">
        <x:v>P08-S05-I005-S1-02B-F03</x:v>
      </x:c>
      <x:c r="C19" s="24" t="str">
        <x:v>STORYBOARD</x:v>
      </x:c>
      <x:c r="D19" s="24" t="str">
        <x:v>I005-S1-02B</x:v>
      </x:c>
      <x:c r="E19" s="24" t="str">
        <x:v>2</x:v>
      </x:c>
      <x:c r="F19" s="24" t="str">
        <x:v>B</x:v>
      </x:c>
      <x:c r="G19" s="24" t="str">
        <x:v>Ga sông đèn lồng</x:v>
      </x:c>
      <x:c r="H19" s="24" t="str">
        <x:v>F03</x:v>
      </x:c>
      <x:c r="I19" s="24" t="str">
        <x:v>7-10s</x:v>
      </x:c>
      <x:c r="J19" s="24" t="str">
        <x:v>STANDARD_0-2_2-7_7-9_9-10</x:v>
      </x:c>
      <x:c r="K19" s="24" t="str">
        <x:v>CLOSING_STATE</x:v>
      </x:c>
      <x:c r="L19" s="24" t="str">
        <x:v>P08-S05-MEO-PRIMARY.REFERENCE.png|P08-S05-MEO-SECONDARY.REFERENCE.png|P08-S05-BO-FRONT.REFERENCE.jpg|P08-S05-BO-SIDE.REFERENCE.jpg</x:v>
      </x:c>
      <x:c r="M19" s="24" t="str">
        <x:v>P08-S05-I005-S1-02B-F03</x:v>
      </x:c>
      <x:c r="N19" s="25" t="str">
        <x:v>PASS</x:v>
      </x:c>
    </x:row>
    <x:row r="20" ht="78" customHeight="1">
      <x:c r="A20" s="57" t="n">
        <x:v>19</x:v>
      </x:c>
      <x:c r="B20" s="24" t="str">
        <x:v>P08-S05-I005-S1-03A-F01</x:v>
      </x:c>
      <x:c r="C20" s="24" t="str">
        <x:v>STORYBOARD</x:v>
      </x:c>
      <x:c r="D20" s="24" t="str">
        <x:v>I005-S1-03A</x:v>
      </x:c>
      <x:c r="E20" s="24" t="str">
        <x:v>3</x:v>
      </x:c>
      <x:c r="F20" s="24" t="str">
        <x:v>A</x:v>
      </x:c>
      <x:c r="G20" s="24" t="str">
        <x:v>Ga vườn thạch</x:v>
      </x:c>
      <x:c r="H20" s="24" t="str">
        <x:v>F01</x:v>
      </x:c>
      <x:c r="I20" s="24" t="str">
        <x:v>0-2s</x:v>
      </x:c>
      <x:c r="J20" s="24" t="str">
        <x:v>STANDARD_0-2_2-7_7-9_9-10</x:v>
      </x:c>
      <x:c r="K20" s="24" t="str">
        <x:v>OPENING</x:v>
      </x:c>
      <x:c r="L20" s="24" t="str">
        <x:v>P08-S05-MEO-PRIMARY.REFERENCE.png|P08-S05-MEO-SECONDARY.REFERENCE.png|P08-S05-BO-FRONT.REFERENCE.jpg|P08-S05-BO-SIDE.REFERENCE.jpg</x:v>
      </x:c>
      <x:c r="M20" s="24" t="str">
        <x:v>P08-S05-I005-S1-03A-F01</x:v>
      </x:c>
      <x:c r="N20" s="25" t="str">
        <x:v>PASS</x:v>
      </x:c>
    </x:row>
    <x:row r="21" ht="78" customHeight="1">
      <x:c r="A21" s="57" t="n">
        <x:v>20</x:v>
      </x:c>
      <x:c r="B21" s="24" t="str">
        <x:v>P08-S05-I005-S1-03A-F02</x:v>
      </x:c>
      <x:c r="C21" s="24" t="str">
        <x:v>STORYBOARD</x:v>
      </x:c>
      <x:c r="D21" s="24" t="str">
        <x:v>I005-S1-03A</x:v>
      </x:c>
      <x:c r="E21" s="24" t="str">
        <x:v>3</x:v>
      </x:c>
      <x:c r="F21" s="24" t="str">
        <x:v>A</x:v>
      </x:c>
      <x:c r="G21" s="24" t="str">
        <x:v>Ga vườn thạch</x:v>
      </x:c>
      <x:c r="H21" s="24" t="str">
        <x:v>F02</x:v>
      </x:c>
      <x:c r="I21" s="24" t="str">
        <x:v>2-7s</x:v>
      </x:c>
      <x:c r="J21" s="24" t="str">
        <x:v>STANDARD_0-2_2-7_7-9_9-10</x:v>
      </x:c>
      <x:c r="K21" s="24" t="str">
        <x:v>CAUSAL_ACTION</x:v>
      </x:c>
      <x:c r="L21" s="24" t="str">
        <x:v>P08-S05-MEO-PRIMARY.REFERENCE.png|P08-S05-MEO-SECONDARY.REFERENCE.png|P08-S05-BO-FRONT.REFERENCE.jpg|P08-S05-BO-SIDE.REFERENCE.jpg</x:v>
      </x:c>
      <x:c r="M21" s="24" t="str">
        <x:v>P08-S05-I005-S1-03A-F02</x:v>
      </x:c>
      <x:c r="N21" s="25" t="str">
        <x:v>PASS</x:v>
      </x:c>
    </x:row>
    <x:row r="22" ht="78" customHeight="1">
      <x:c r="A22" s="57" t="n">
        <x:v>21</x:v>
      </x:c>
      <x:c r="B22" s="24" t="str">
        <x:v>P08-S05-I005-S1-03A-F03</x:v>
      </x:c>
      <x:c r="C22" s="24" t="str">
        <x:v>STORYBOARD</x:v>
      </x:c>
      <x:c r="D22" s="24" t="str">
        <x:v>I005-S1-03A</x:v>
      </x:c>
      <x:c r="E22" s="24" t="str">
        <x:v>3</x:v>
      </x:c>
      <x:c r="F22" s="24" t="str">
        <x:v>A</x:v>
      </x:c>
      <x:c r="G22" s="24" t="str">
        <x:v>Ga vườn thạch</x:v>
      </x:c>
      <x:c r="H22" s="24" t="str">
        <x:v>F03</x:v>
      </x:c>
      <x:c r="I22" s="24" t="str">
        <x:v>7-10s</x:v>
      </x:c>
      <x:c r="J22" s="24" t="str">
        <x:v>STANDARD_0-2_2-7_7-9_9-10</x:v>
      </x:c>
      <x:c r="K22" s="24" t="str">
        <x:v>CLOSING_STATE</x:v>
      </x:c>
      <x:c r="L22" s="24" t="str">
        <x:v>P08-S05-MEO-PRIMARY.REFERENCE.png|P08-S05-MEO-SECONDARY.REFERENCE.png|P08-S05-BO-FRONT.REFERENCE.jpg|P08-S05-BO-SIDE.REFERENCE.jpg</x:v>
      </x:c>
      <x:c r="M22" s="24" t="str">
        <x:v>P08-S05-I005-S1-03A-F03</x:v>
      </x:c>
      <x:c r="N22" s="25" t="str">
        <x:v>PASS</x:v>
      </x:c>
    </x:row>
    <x:row r="23" ht="78" customHeight="1">
      <x:c r="A23" s="57" t="n">
        <x:v>22</x:v>
      </x:c>
      <x:c r="B23" s="24" t="str">
        <x:v>P08-S05-I005-S1-03B-F01</x:v>
      </x:c>
      <x:c r="C23" s="24" t="str">
        <x:v>STORYBOARD</x:v>
      </x:c>
      <x:c r="D23" s="24" t="str">
        <x:v>I005-S1-03B</x:v>
      </x:c>
      <x:c r="E23" s="24" t="str">
        <x:v>3</x:v>
      </x:c>
      <x:c r="F23" s="24" t="str">
        <x:v>B</x:v>
      </x:c>
      <x:c r="G23" s="24" t="str">
        <x:v>Ga vườn thạch</x:v>
      </x:c>
      <x:c r="H23" s="24" t="str">
        <x:v>F01</x:v>
      </x:c>
      <x:c r="I23" s="24" t="str">
        <x:v>0-2s</x:v>
      </x:c>
      <x:c r="J23" s="24" t="str">
        <x:v>STANDARD_0-2_2-7_7-9_9-10</x:v>
      </x:c>
      <x:c r="K23" s="24" t="str">
        <x:v>OPENING</x:v>
      </x:c>
      <x:c r="L23" s="24" t="str">
        <x:v>P08-S05-MEO-PRIMARY.REFERENCE.png|P08-S05-MEO-SECONDARY.REFERENCE.png|P08-S05-BO-FRONT.REFERENCE.jpg|P08-S05-BO-SIDE.REFERENCE.jpg</x:v>
      </x:c>
      <x:c r="M23" s="24" t="str">
        <x:v>P08-S05-I005-S1-03B-F01</x:v>
      </x:c>
      <x:c r="N23" s="25" t="str">
        <x:v>PASS</x:v>
      </x:c>
    </x:row>
    <x:row r="24" ht="78" customHeight="1">
      <x:c r="A24" s="57" t="n">
        <x:v>23</x:v>
      </x:c>
      <x:c r="B24" s="24" t="str">
        <x:v>P08-S05-I005-S1-03B-F02</x:v>
      </x:c>
      <x:c r="C24" s="24" t="str">
        <x:v>STORYBOARD</x:v>
      </x:c>
      <x:c r="D24" s="24" t="str">
        <x:v>I005-S1-03B</x:v>
      </x:c>
      <x:c r="E24" s="24" t="str">
        <x:v>3</x:v>
      </x:c>
      <x:c r="F24" s="24" t="str">
        <x:v>B</x:v>
      </x:c>
      <x:c r="G24" s="24" t="str">
        <x:v>Ga vườn thạch</x:v>
      </x:c>
      <x:c r="H24" s="24" t="str">
        <x:v>F02</x:v>
      </x:c>
      <x:c r="I24" s="24" t="str">
        <x:v>2-7s</x:v>
      </x:c>
      <x:c r="J24" s="24" t="str">
        <x:v>STANDARD_0-2_2-7_7-9_9-10</x:v>
      </x:c>
      <x:c r="K24" s="24" t="str">
        <x:v>CAUSAL_ACTION</x:v>
      </x:c>
      <x:c r="L24" s="24" t="str">
        <x:v>P08-S05-MEO-PRIMARY.REFERENCE.png|P08-S05-MEO-SECONDARY.REFERENCE.png|P08-S05-BO-FRONT.REFERENCE.jpg|P08-S05-BO-SIDE.REFERENCE.jpg</x:v>
      </x:c>
      <x:c r="M24" s="24" t="str">
        <x:v>P08-S05-I005-S1-03B-F02</x:v>
      </x:c>
      <x:c r="N24" s="25" t="str">
        <x:v>PASS</x:v>
      </x:c>
    </x:row>
    <x:row r="25" ht="78" customHeight="1">
      <x:c r="A25" s="57" t="n">
        <x:v>24</x:v>
      </x:c>
      <x:c r="B25" s="24" t="str">
        <x:v>P08-S05-I005-S1-03B-F03</x:v>
      </x:c>
      <x:c r="C25" s="24" t="str">
        <x:v>STORYBOARD</x:v>
      </x:c>
      <x:c r="D25" s="24" t="str">
        <x:v>I005-S1-03B</x:v>
      </x:c>
      <x:c r="E25" s="24" t="str">
        <x:v>3</x:v>
      </x:c>
      <x:c r="F25" s="24" t="str">
        <x:v>B</x:v>
      </x:c>
      <x:c r="G25" s="24" t="str">
        <x:v>Ga vườn thạch</x:v>
      </x:c>
      <x:c r="H25" s="24" t="str">
        <x:v>F03</x:v>
      </x:c>
      <x:c r="I25" s="24" t="str">
        <x:v>7-10s</x:v>
      </x:c>
      <x:c r="J25" s="24" t="str">
        <x:v>STANDARD_0-2_2-7_7-9_9-10</x:v>
      </x:c>
      <x:c r="K25" s="24" t="str">
        <x:v>CLOSING_STATE</x:v>
      </x:c>
      <x:c r="L25" s="24" t="str">
        <x:v>P08-S05-MEO-PRIMARY.REFERENCE.png|P08-S05-MEO-SECONDARY.REFERENCE.png|P08-S05-BO-FRONT.REFERENCE.jpg|P08-S05-BO-SIDE.REFERENCE.jpg</x:v>
      </x:c>
      <x:c r="M25" s="24" t="str">
        <x:v>P08-S05-I005-S1-03B-F03</x:v>
      </x:c>
      <x:c r="N25" s="25" t="str">
        <x:v>PASS</x:v>
      </x:c>
    </x:row>
    <x:row r="26" ht="78" customHeight="1">
      <x:c r="A26" s="57" t="n">
        <x:v>25</x:v>
      </x:c>
      <x:c r="B26" s="24" t="str">
        <x:v>P08-S05-I005-S1-04A-F01</x:v>
      </x:c>
      <x:c r="C26" s="24" t="str">
        <x:v>STORYBOARD</x:v>
      </x:c>
      <x:c r="D26" s="24" t="str">
        <x:v>I005-S1-04A</x:v>
      </x:c>
      <x:c r="E26" s="24" t="str">
        <x:v>4</x:v>
      </x:c>
      <x:c r="F26" s="24" t="str">
        <x:v>A</x:v>
      </x:c>
      <x:c r="G26" s="24" t="str">
        <x:v>Ga cát sao</x:v>
      </x:c>
      <x:c r="H26" s="24" t="str">
        <x:v>F01</x:v>
      </x:c>
      <x:c r="I26" s="24" t="str">
        <x:v>0-2s</x:v>
      </x:c>
      <x:c r="J26" s="24" t="str">
        <x:v>STANDARD_0-2_2-7_7-9_9-10</x:v>
      </x:c>
      <x:c r="K26" s="24" t="str">
        <x:v>OPENING</x:v>
      </x:c>
      <x:c r="L26" s="24" t="str">
        <x:v>P08-S05-MEO-PRIMARY.REFERENCE.png|P08-S05-MEO-SECONDARY.REFERENCE.png|P08-S05-BO-FRONT.REFERENCE.jpg|P08-S05-BO-SIDE.REFERENCE.jpg</x:v>
      </x:c>
      <x:c r="M26" s="24" t="str">
        <x:v>P08-S05-I005-S1-04A-F01</x:v>
      </x:c>
      <x:c r="N26" s="25" t="str">
        <x:v>PASS</x:v>
      </x:c>
    </x:row>
    <x:row r="27" ht="78" customHeight="1">
      <x:c r="A27" s="57" t="n">
        <x:v>26</x:v>
      </x:c>
      <x:c r="B27" s="24" t="str">
        <x:v>P08-S05-I005-S1-04A-F02</x:v>
      </x:c>
      <x:c r="C27" s="24" t="str">
        <x:v>STORYBOARD</x:v>
      </x:c>
      <x:c r="D27" s="24" t="str">
        <x:v>I005-S1-04A</x:v>
      </x:c>
      <x:c r="E27" s="24" t="str">
        <x:v>4</x:v>
      </x:c>
      <x:c r="F27" s="24" t="str">
        <x:v>A</x:v>
      </x:c>
      <x:c r="G27" s="24" t="str">
        <x:v>Ga cát sao</x:v>
      </x:c>
      <x:c r="H27" s="24" t="str">
        <x:v>F02</x:v>
      </x:c>
      <x:c r="I27" s="24" t="str">
        <x:v>2-7s</x:v>
      </x:c>
      <x:c r="J27" s="24" t="str">
        <x:v>STANDARD_0-2_2-7_7-9_9-10</x:v>
      </x:c>
      <x:c r="K27" s="24" t="str">
        <x:v>CAUSAL_ACTION</x:v>
      </x:c>
      <x:c r="L27" s="24" t="str">
        <x:v>P08-S05-MEO-PRIMARY.REFERENCE.png|P08-S05-MEO-SECONDARY.REFERENCE.png|P08-S05-BO-FRONT.REFERENCE.jpg|P08-S05-BO-SIDE.REFERENCE.jpg</x:v>
      </x:c>
      <x:c r="M27" s="24" t="str">
        <x:v>P08-S05-I005-S1-04A-F02</x:v>
      </x:c>
      <x:c r="N27" s="25" t="str">
        <x:v>PASS</x:v>
      </x:c>
    </x:row>
    <x:row r="28" ht="78" customHeight="1">
      <x:c r="A28" s="57" t="n">
        <x:v>27</x:v>
      </x:c>
      <x:c r="B28" s="24" t="str">
        <x:v>P08-S05-I005-S1-04A-F03</x:v>
      </x:c>
      <x:c r="C28" s="24" t="str">
        <x:v>STORYBOARD</x:v>
      </x:c>
      <x:c r="D28" s="24" t="str">
        <x:v>I005-S1-04A</x:v>
      </x:c>
      <x:c r="E28" s="24" t="str">
        <x:v>4</x:v>
      </x:c>
      <x:c r="F28" s="24" t="str">
        <x:v>A</x:v>
      </x:c>
      <x:c r="G28" s="24" t="str">
        <x:v>Ga cát sao</x:v>
      </x:c>
      <x:c r="H28" s="24" t="str">
        <x:v>F03</x:v>
      </x:c>
      <x:c r="I28" s="24" t="str">
        <x:v>7-10s</x:v>
      </x:c>
      <x:c r="J28" s="24" t="str">
        <x:v>STANDARD_0-2_2-7_7-9_9-10</x:v>
      </x:c>
      <x:c r="K28" s="24" t="str">
        <x:v>CLOSING_STATE</x:v>
      </x:c>
      <x:c r="L28" s="24" t="str">
        <x:v>P08-S05-MEO-PRIMARY.REFERENCE.png|P08-S05-MEO-SECONDARY.REFERENCE.png|P08-S05-BO-FRONT.REFERENCE.jpg|P08-S05-BO-SIDE.REFERENCE.jpg</x:v>
      </x:c>
      <x:c r="M28" s="24" t="str">
        <x:v>P08-S05-I005-S1-04A-F03</x:v>
      </x:c>
      <x:c r="N28" s="25" t="str">
        <x:v>PASS</x:v>
      </x:c>
    </x:row>
    <x:row r="29" ht="78" customHeight="1">
      <x:c r="A29" s="57" t="n">
        <x:v>28</x:v>
      </x:c>
      <x:c r="B29" s="24" t="str">
        <x:v>P08-S05-I005-S1-04B-F01</x:v>
      </x:c>
      <x:c r="C29" s="24" t="str">
        <x:v>STORYBOARD</x:v>
      </x:c>
      <x:c r="D29" s="24" t="str">
        <x:v>I005-S1-04B</x:v>
      </x:c>
      <x:c r="E29" s="24" t="str">
        <x:v>4</x:v>
      </x:c>
      <x:c r="F29" s="24" t="str">
        <x:v>B</x:v>
      </x:c>
      <x:c r="G29" s="24" t="str">
        <x:v>Ga cát sao</x:v>
      </x:c>
      <x:c r="H29" s="24" t="str">
        <x:v>F01</x:v>
      </x:c>
      <x:c r="I29" s="24" t="str">
        <x:v>0-2s</x:v>
      </x:c>
      <x:c r="J29" s="24" t="str">
        <x:v>STANDARD_0-2_2-7_7-9_9-10</x:v>
      </x:c>
      <x:c r="K29" s="24" t="str">
        <x:v>OPENING</x:v>
      </x:c>
      <x:c r="L29" s="24" t="str">
        <x:v>P08-S05-MEO-PRIMARY.REFERENCE.png|P08-S05-MEO-SECONDARY.REFERENCE.png|P08-S05-BO-FRONT.REFERENCE.jpg|P08-S05-BO-SIDE.REFERENCE.jpg</x:v>
      </x:c>
      <x:c r="M29" s="24" t="str">
        <x:v>P08-S05-I005-S1-04B-F01</x:v>
      </x:c>
      <x:c r="N29" s="25" t="str">
        <x:v>PASS</x:v>
      </x:c>
    </x:row>
    <x:row r="30" ht="78" customHeight="1">
      <x:c r="A30" s="57" t="n">
        <x:v>29</x:v>
      </x:c>
      <x:c r="B30" s="24" t="str">
        <x:v>P08-S05-I005-S1-04B-F02</x:v>
      </x:c>
      <x:c r="C30" s="24" t="str">
        <x:v>STORYBOARD</x:v>
      </x:c>
      <x:c r="D30" s="24" t="str">
        <x:v>I005-S1-04B</x:v>
      </x:c>
      <x:c r="E30" s="24" t="str">
        <x:v>4</x:v>
      </x:c>
      <x:c r="F30" s="24" t="str">
        <x:v>B</x:v>
      </x:c>
      <x:c r="G30" s="24" t="str">
        <x:v>Ga cát sao</x:v>
      </x:c>
      <x:c r="H30" s="24" t="str">
        <x:v>F02</x:v>
      </x:c>
      <x:c r="I30" s="24" t="str">
        <x:v>2-7s</x:v>
      </x:c>
      <x:c r="J30" s="24" t="str">
        <x:v>STANDARD_0-2_2-7_7-9_9-10</x:v>
      </x:c>
      <x:c r="K30" s="24" t="str">
        <x:v>CAUSAL_ACTION</x:v>
      </x:c>
      <x:c r="L30" s="24" t="str">
        <x:v>P08-S05-MEO-PRIMARY.REFERENCE.png|P08-S05-MEO-SECONDARY.REFERENCE.png|P08-S05-BO-FRONT.REFERENCE.jpg|P08-S05-BO-SIDE.REFERENCE.jpg</x:v>
      </x:c>
      <x:c r="M30" s="24" t="str">
        <x:v>P08-S05-I005-S1-04B-F02</x:v>
      </x:c>
      <x:c r="N30" s="25" t="str">
        <x:v>PASS</x:v>
      </x:c>
    </x:row>
    <x:row r="31" ht="78" customHeight="1">
      <x:c r="A31" s="57" t="n">
        <x:v>30</x:v>
      </x:c>
      <x:c r="B31" s="24" t="str">
        <x:v>P08-S05-I005-S1-04B-F03</x:v>
      </x:c>
      <x:c r="C31" s="24" t="str">
        <x:v>STORYBOARD</x:v>
      </x:c>
      <x:c r="D31" s="24" t="str">
        <x:v>I005-S1-04B</x:v>
      </x:c>
      <x:c r="E31" s="24" t="str">
        <x:v>4</x:v>
      </x:c>
      <x:c r="F31" s="24" t="str">
        <x:v>B</x:v>
      </x:c>
      <x:c r="G31" s="24" t="str">
        <x:v>Ga cát sao</x:v>
      </x:c>
      <x:c r="H31" s="24" t="str">
        <x:v>F03</x:v>
      </x:c>
      <x:c r="I31" s="24" t="str">
        <x:v>7-10s</x:v>
      </x:c>
      <x:c r="J31" s="24" t="str">
        <x:v>STANDARD_0-2_2-7_7-9_9-10</x:v>
      </x:c>
      <x:c r="K31" s="24" t="str">
        <x:v>CLOSING_STATE</x:v>
      </x:c>
      <x:c r="L31" s="24" t="str">
        <x:v>P08-S05-MEO-PRIMARY.REFERENCE.png|P08-S05-MEO-SECONDARY.REFERENCE.png|P08-S05-BO-FRONT.REFERENCE.jpg|P08-S05-BO-SIDE.REFERENCE.jpg</x:v>
      </x:c>
      <x:c r="M31" s="24" t="str">
        <x:v>P08-S05-I005-S1-04B-F03</x:v>
      </x:c>
      <x:c r="N31" s="25" t="str">
        <x:v>PASS</x:v>
      </x:c>
    </x:row>
    <x:row r="32" ht="78" customHeight="1">
      <x:c r="A32" s="57" t="n">
        <x:v>31</x:v>
      </x:c>
      <x:c r="B32" s="24" t="str">
        <x:v>P08-S05-I005-S1-05A-F01</x:v>
      </x:c>
      <x:c r="C32" s="24" t="str">
        <x:v>STORYBOARD</x:v>
      </x:c>
      <x:c r="D32" s="24" t="str">
        <x:v>I005-S1-05A</x:v>
      </x:c>
      <x:c r="E32" s="24" t="str">
        <x:v>5</x:v>
      </x:c>
      <x:c r="F32" s="24" t="str">
        <x:v>A</x:v>
      </x:c>
      <x:c r="G32" s="24" t="str">
        <x:v>Ga thị trấn domino</x:v>
      </x:c>
      <x:c r="H32" s="24" t="str">
        <x:v>F01</x:v>
      </x:c>
      <x:c r="I32" s="24" t="str">
        <x:v>0-2s</x:v>
      </x:c>
      <x:c r="J32" s="24" t="str">
        <x:v>STANDARD_0-2_2-7_7-9_9-10</x:v>
      </x:c>
      <x:c r="K32" s="24" t="str">
        <x:v>OPENING</x:v>
      </x:c>
      <x:c r="L32" s="24" t="str">
        <x:v>P08-S05-MEO-PRIMARY.REFERENCE.png|P08-S05-MEO-SECONDARY.REFERENCE.png|P08-S05-BO-FRONT.REFERENCE.jpg|P08-S05-BO-SIDE.REFERENCE.jpg</x:v>
      </x:c>
      <x:c r="M32" s="24" t="str">
        <x:v>P08-S05-I005-S1-05A-F01</x:v>
      </x:c>
      <x:c r="N32" s="25" t="str">
        <x:v>PASS</x:v>
      </x:c>
    </x:row>
    <x:row r="33" ht="78" customHeight="1">
      <x:c r="A33" s="57" t="n">
        <x:v>32</x:v>
      </x:c>
      <x:c r="B33" s="24" t="str">
        <x:v>P08-S05-I005-S1-05A-F02</x:v>
      </x:c>
      <x:c r="C33" s="24" t="str">
        <x:v>STORYBOARD</x:v>
      </x:c>
      <x:c r="D33" s="24" t="str">
        <x:v>I005-S1-05A</x:v>
      </x:c>
      <x:c r="E33" s="24" t="str">
        <x:v>5</x:v>
      </x:c>
      <x:c r="F33" s="24" t="str">
        <x:v>A</x:v>
      </x:c>
      <x:c r="G33" s="24" t="str">
        <x:v>Ga thị trấn domino</x:v>
      </x:c>
      <x:c r="H33" s="24" t="str">
        <x:v>F02</x:v>
      </x:c>
      <x:c r="I33" s="24" t="str">
        <x:v>2-7s</x:v>
      </x:c>
      <x:c r="J33" s="24" t="str">
        <x:v>STANDARD_0-2_2-7_7-9_9-10</x:v>
      </x:c>
      <x:c r="K33" s="24" t="str">
        <x:v>CAUSAL_ACTION</x:v>
      </x:c>
      <x:c r="L33" s="24" t="str">
        <x:v>P08-S05-MEO-PRIMARY.REFERENCE.png|P08-S05-MEO-SECONDARY.REFERENCE.png|P08-S05-BO-FRONT.REFERENCE.jpg|P08-S05-BO-SIDE.REFERENCE.jpg</x:v>
      </x:c>
      <x:c r="M33" s="24" t="str">
        <x:v>P08-S05-I005-S1-05A-F02</x:v>
      </x:c>
      <x:c r="N33" s="25" t="str">
        <x:v>PASS</x:v>
      </x:c>
    </x:row>
    <x:row r="34" ht="78" customHeight="1">
      <x:c r="A34" s="57" t="n">
        <x:v>33</x:v>
      </x:c>
      <x:c r="B34" s="24" t="str">
        <x:v>P08-S05-I005-S1-05A-F03</x:v>
      </x:c>
      <x:c r="C34" s="24" t="str">
        <x:v>STORYBOARD</x:v>
      </x:c>
      <x:c r="D34" s="24" t="str">
        <x:v>I005-S1-05A</x:v>
      </x:c>
      <x:c r="E34" s="24" t="str">
        <x:v>5</x:v>
      </x:c>
      <x:c r="F34" s="24" t="str">
        <x:v>A</x:v>
      </x:c>
      <x:c r="G34" s="24" t="str">
        <x:v>Ga thị trấn domino</x:v>
      </x:c>
      <x:c r="H34" s="24" t="str">
        <x:v>F03</x:v>
      </x:c>
      <x:c r="I34" s="24" t="str">
        <x:v>7-10s</x:v>
      </x:c>
      <x:c r="J34" s="24" t="str">
        <x:v>STANDARD_0-2_2-7_7-9_9-10</x:v>
      </x:c>
      <x:c r="K34" s="24" t="str">
        <x:v>CLOSING_STATE</x:v>
      </x:c>
      <x:c r="L34" s="24" t="str">
        <x:v>P08-S05-MEO-PRIMARY.REFERENCE.png|P08-S05-MEO-SECONDARY.REFERENCE.png|P08-S05-BO-FRONT.REFERENCE.jpg|P08-S05-BO-SIDE.REFERENCE.jpg</x:v>
      </x:c>
      <x:c r="M34" s="24" t="str">
        <x:v>P08-S05-I005-S1-05A-F03</x:v>
      </x:c>
      <x:c r="N34" s="25" t="str">
        <x:v>PASS</x:v>
      </x:c>
    </x:row>
    <x:row r="35" ht="78" customHeight="1">
      <x:c r="A35" s="57" t="n">
        <x:v>34</x:v>
      </x:c>
      <x:c r="B35" s="24" t="str">
        <x:v>P08-S05-I005-S1-05B-F01</x:v>
      </x:c>
      <x:c r="C35" s="24" t="str">
        <x:v>STORYBOARD</x:v>
      </x:c>
      <x:c r="D35" s="24" t="str">
        <x:v>I005-S1-05B</x:v>
      </x:c>
      <x:c r="E35" s="24" t="str">
        <x:v>5</x:v>
      </x:c>
      <x:c r="F35" s="24" t="str">
        <x:v>B</x:v>
      </x:c>
      <x:c r="G35" s="24" t="str">
        <x:v>Ga thị trấn domino</x:v>
      </x:c>
      <x:c r="H35" s="24" t="str">
        <x:v>F01</x:v>
      </x:c>
      <x:c r="I35" s="24" t="str">
        <x:v>0-2s</x:v>
      </x:c>
      <x:c r="J35" s="24" t="str">
        <x:v>STANDARD_0-2_2-7_7-9_9-10</x:v>
      </x:c>
      <x:c r="K35" s="24" t="str">
        <x:v>OPENING</x:v>
      </x:c>
      <x:c r="L35" s="24" t="str">
        <x:v>P08-S05-MEO-PRIMARY.REFERENCE.png|P08-S05-MEO-SECONDARY.REFERENCE.png|P08-S05-BO-FRONT.REFERENCE.jpg|P08-S05-BO-SIDE.REFERENCE.jpg</x:v>
      </x:c>
      <x:c r="M35" s="24" t="str">
        <x:v>P08-S05-I005-S1-05B-F01</x:v>
      </x:c>
      <x:c r="N35" s="25" t="str">
        <x:v>PASS</x:v>
      </x:c>
    </x:row>
    <x:row r="36" ht="78" customHeight="1">
      <x:c r="A36" s="57" t="n">
        <x:v>35</x:v>
      </x:c>
      <x:c r="B36" s="24" t="str">
        <x:v>P08-S05-I005-S1-05B-F02</x:v>
      </x:c>
      <x:c r="C36" s="24" t="str">
        <x:v>STORYBOARD</x:v>
      </x:c>
      <x:c r="D36" s="24" t="str">
        <x:v>I005-S1-05B</x:v>
      </x:c>
      <x:c r="E36" s="24" t="str">
        <x:v>5</x:v>
      </x:c>
      <x:c r="F36" s="24" t="str">
        <x:v>B</x:v>
      </x:c>
      <x:c r="G36" s="24" t="str">
        <x:v>Ga thị trấn domino</x:v>
      </x:c>
      <x:c r="H36" s="24" t="str">
        <x:v>F02</x:v>
      </x:c>
      <x:c r="I36" s="24" t="str">
        <x:v>2-7s</x:v>
      </x:c>
      <x:c r="J36" s="24" t="str">
        <x:v>STANDARD_0-2_2-7_7-9_9-10</x:v>
      </x:c>
      <x:c r="K36" s="24" t="str">
        <x:v>CAUSAL_ACTION</x:v>
      </x:c>
      <x:c r="L36" s="24" t="str">
        <x:v>P08-S05-MEO-PRIMARY.REFERENCE.png|P08-S05-MEO-SECONDARY.REFERENCE.png|P08-S05-BO-FRONT.REFERENCE.jpg|P08-S05-BO-SIDE.REFERENCE.jpg</x:v>
      </x:c>
      <x:c r="M36" s="24" t="str">
        <x:v>P08-S05-I005-S1-05B-F02</x:v>
      </x:c>
      <x:c r="N36" s="25" t="str">
        <x:v>PASS</x:v>
      </x:c>
    </x:row>
    <x:row r="37" ht="78" customHeight="1">
      <x:c r="A37" s="57" t="n">
        <x:v>36</x:v>
      </x:c>
      <x:c r="B37" s="24" t="str">
        <x:v>P08-S05-I005-S1-05B-F03</x:v>
      </x:c>
      <x:c r="C37" s="24" t="str">
        <x:v>STORYBOARD</x:v>
      </x:c>
      <x:c r="D37" s="24" t="str">
        <x:v>I005-S1-05B</x:v>
      </x:c>
      <x:c r="E37" s="24" t="str">
        <x:v>5</x:v>
      </x:c>
      <x:c r="F37" s="24" t="str">
        <x:v>B</x:v>
      </x:c>
      <x:c r="G37" s="24" t="str">
        <x:v>Ga thị trấn domino</x:v>
      </x:c>
      <x:c r="H37" s="24" t="str">
        <x:v>F03</x:v>
      </x:c>
      <x:c r="I37" s="24" t="str">
        <x:v>7-10s</x:v>
      </x:c>
      <x:c r="J37" s="24" t="str">
        <x:v>STANDARD_0-2_2-7_7-9_9-10</x:v>
      </x:c>
      <x:c r="K37" s="24" t="str">
        <x:v>CLOSING_STATE</x:v>
      </x:c>
      <x:c r="L37" s="24" t="str">
        <x:v>P08-S05-MEO-PRIMARY.REFERENCE.png|P08-S05-MEO-SECONDARY.REFERENCE.png|P08-S05-BO-FRONT.REFERENCE.jpg|P08-S05-BO-SIDE.REFERENCE.jpg</x:v>
      </x:c>
      <x:c r="M37" s="24" t="str">
        <x:v>P08-S05-I005-S1-05B-F03</x:v>
      </x:c>
      <x:c r="N37" s="25" t="str">
        <x:v>PASS</x:v>
      </x:c>
    </x:row>
    <x:row r="38" ht="78" customHeight="1">
      <x:c r="A38" s="57" t="n">
        <x:v>37</x:v>
      </x:c>
      <x:c r="B38" s="24" t="str">
        <x:v>P08-S05-I005-S1-06A-F01</x:v>
      </x:c>
      <x:c r="C38" s="24" t="str">
        <x:v>STORYBOARD</x:v>
      </x:c>
      <x:c r="D38" s="24" t="str">
        <x:v>I005-S1-06A</x:v>
      </x:c>
      <x:c r="E38" s="24" t="str">
        <x:v>6</x:v>
      </x:c>
      <x:c r="F38" s="24" t="str">
        <x:v>A</x:v>
      </x:c>
      <x:c r="G38" s="24" t="str">
        <x:v>Ga tuyết lông vũ</x:v>
      </x:c>
      <x:c r="H38" s="24" t="str">
        <x:v>F01</x:v>
      </x:c>
      <x:c r="I38" s="24" t="str">
        <x:v>0-2s</x:v>
      </x:c>
      <x:c r="J38" s="24" t="str">
        <x:v>STANDARD_0-2_2-7_7-9_9-10</x:v>
      </x:c>
      <x:c r="K38" s="24" t="str">
        <x:v>OPENING</x:v>
      </x:c>
      <x:c r="L38" s="24" t="str">
        <x:v>P08-S05-MEO-PRIMARY.REFERENCE.png|P08-S05-MEO-SECONDARY.REFERENCE.png|P08-S05-BO-FRONT.REFERENCE.jpg|P08-S05-BO-SIDE.REFERENCE.jpg</x:v>
      </x:c>
      <x:c r="M38" s="24" t="str">
        <x:v>P08-S05-I005-S1-06A-F01</x:v>
      </x:c>
      <x:c r="N38" s="25" t="str">
        <x:v>PASS</x:v>
      </x:c>
    </x:row>
    <x:row r="39" ht="78" customHeight="1">
      <x:c r="A39" s="57" t="n">
        <x:v>38</x:v>
      </x:c>
      <x:c r="B39" s="24" t="str">
        <x:v>P08-S05-I005-S1-06A-F02</x:v>
      </x:c>
      <x:c r="C39" s="24" t="str">
        <x:v>STORYBOARD</x:v>
      </x:c>
      <x:c r="D39" s="24" t="str">
        <x:v>I005-S1-06A</x:v>
      </x:c>
      <x:c r="E39" s="24" t="str">
        <x:v>6</x:v>
      </x:c>
      <x:c r="F39" s="24" t="str">
        <x:v>A</x:v>
      </x:c>
      <x:c r="G39" s="24" t="str">
        <x:v>Ga tuyết lông vũ</x:v>
      </x:c>
      <x:c r="H39" s="24" t="str">
        <x:v>F02</x:v>
      </x:c>
      <x:c r="I39" s="24" t="str">
        <x:v>2-7s</x:v>
      </x:c>
      <x:c r="J39" s="24" t="str">
        <x:v>STANDARD_0-2_2-7_7-9_9-10</x:v>
      </x:c>
      <x:c r="K39" s="24" t="str">
        <x:v>CAUSAL_ACTION</x:v>
      </x:c>
      <x:c r="L39" s="24" t="str">
        <x:v>P08-S05-MEO-PRIMARY.REFERENCE.png|P08-S05-MEO-SECONDARY.REFERENCE.png|P08-S05-BO-FRONT.REFERENCE.jpg|P08-S05-BO-SIDE.REFERENCE.jpg</x:v>
      </x:c>
      <x:c r="M39" s="24" t="str">
        <x:v>P08-S05-I005-S1-06A-F02</x:v>
      </x:c>
      <x:c r="N39" s="25" t="str">
        <x:v>PASS</x:v>
      </x:c>
    </x:row>
    <x:row r="40" ht="78" customHeight="1">
      <x:c r="A40" s="57" t="n">
        <x:v>39</x:v>
      </x:c>
      <x:c r="B40" s="24" t="str">
        <x:v>P08-S05-I005-S1-06A-F03</x:v>
      </x:c>
      <x:c r="C40" s="24" t="str">
        <x:v>STORYBOARD</x:v>
      </x:c>
      <x:c r="D40" s="24" t="str">
        <x:v>I005-S1-06A</x:v>
      </x:c>
      <x:c r="E40" s="24" t="str">
        <x:v>6</x:v>
      </x:c>
      <x:c r="F40" s="24" t="str">
        <x:v>A</x:v>
      </x:c>
      <x:c r="G40" s="24" t="str">
        <x:v>Ga tuyết lông vũ</x:v>
      </x:c>
      <x:c r="H40" s="24" t="str">
        <x:v>F03</x:v>
      </x:c>
      <x:c r="I40" s="24" t="str">
        <x:v>7-10s</x:v>
      </x:c>
      <x:c r="J40" s="24" t="str">
        <x:v>STANDARD_0-2_2-7_7-9_9-10</x:v>
      </x:c>
      <x:c r="K40" s="24" t="str">
        <x:v>CLOSING_STATE</x:v>
      </x:c>
      <x:c r="L40" s="24" t="str">
        <x:v>P08-S05-MEO-PRIMARY.REFERENCE.png|P08-S05-MEO-SECONDARY.REFERENCE.png|P08-S05-BO-FRONT.REFERENCE.jpg|P08-S05-BO-SIDE.REFERENCE.jpg</x:v>
      </x:c>
      <x:c r="M40" s="24" t="str">
        <x:v>P08-S05-I005-S1-06A-F03</x:v>
      </x:c>
      <x:c r="N40" s="25" t="str">
        <x:v>PASS</x:v>
      </x:c>
    </x:row>
    <x:row r="41" ht="78" customHeight="1">
      <x:c r="A41" s="57" t="n">
        <x:v>40</x:v>
      </x:c>
      <x:c r="B41" s="24" t="str">
        <x:v>P08-S05-I005-S1-06B-F01</x:v>
      </x:c>
      <x:c r="C41" s="24" t="str">
        <x:v>STORYBOARD</x:v>
      </x:c>
      <x:c r="D41" s="24" t="str">
        <x:v>I005-S1-06B</x:v>
      </x:c>
      <x:c r="E41" s="24" t="str">
        <x:v>6</x:v>
      </x:c>
      <x:c r="F41" s="24" t="str">
        <x:v>B</x:v>
      </x:c>
      <x:c r="G41" s="24" t="str">
        <x:v>Ga tuyết lông vũ</x:v>
      </x:c>
      <x:c r="H41" s="24" t="str">
        <x:v>F01</x:v>
      </x:c>
      <x:c r="I41" s="24" t="str">
        <x:v>0-2s</x:v>
      </x:c>
      <x:c r="J41" s="24" t="str">
        <x:v>STANDARD_0-2_2-7_7-9_9-10</x:v>
      </x:c>
      <x:c r="K41" s="24" t="str">
        <x:v>OPENING</x:v>
      </x:c>
      <x:c r="L41" s="24" t="str">
        <x:v>P08-S05-MEO-PRIMARY.REFERENCE.png|P08-S05-MEO-SECONDARY.REFERENCE.png|P08-S05-BO-FRONT.REFERENCE.jpg|P08-S05-BO-SIDE.REFERENCE.jpg</x:v>
      </x:c>
      <x:c r="M41" s="24" t="str">
        <x:v>P08-S05-I005-S1-06B-F01</x:v>
      </x:c>
      <x:c r="N41" s="25" t="str">
        <x:v>PASS</x:v>
      </x:c>
    </x:row>
    <x:row r="42" ht="78" customHeight="1">
      <x:c r="A42" s="57" t="n">
        <x:v>41</x:v>
      </x:c>
      <x:c r="B42" s="24" t="str">
        <x:v>P08-S05-I005-S1-06B-F02</x:v>
      </x:c>
      <x:c r="C42" s="24" t="str">
        <x:v>STORYBOARD</x:v>
      </x:c>
      <x:c r="D42" s="24" t="str">
        <x:v>I005-S1-06B</x:v>
      </x:c>
      <x:c r="E42" s="24" t="str">
        <x:v>6</x:v>
      </x:c>
      <x:c r="F42" s="24" t="str">
        <x:v>B</x:v>
      </x:c>
      <x:c r="G42" s="24" t="str">
        <x:v>Ga tuyết lông vũ</x:v>
      </x:c>
      <x:c r="H42" s="24" t="str">
        <x:v>F02</x:v>
      </x:c>
      <x:c r="I42" s="24" t="str">
        <x:v>2-7s</x:v>
      </x:c>
      <x:c r="J42" s="24" t="str">
        <x:v>STANDARD_0-2_2-7_7-9_9-10</x:v>
      </x:c>
      <x:c r="K42" s="24" t="str">
        <x:v>CAUSAL_ACTION</x:v>
      </x:c>
      <x:c r="L42" s="24" t="str">
        <x:v>P08-S05-MEO-PRIMARY.REFERENCE.png|P08-S05-MEO-SECONDARY.REFERENCE.png|P08-S05-BO-FRONT.REFERENCE.jpg|P08-S05-BO-SIDE.REFERENCE.jpg</x:v>
      </x:c>
      <x:c r="M42" s="24" t="str">
        <x:v>P08-S05-I005-S1-06B-F02</x:v>
      </x:c>
      <x:c r="N42" s="25" t="str">
        <x:v>PASS</x:v>
      </x:c>
    </x:row>
    <x:row r="43" ht="78" customHeight="1">
      <x:c r="A43" s="57" t="n">
        <x:v>42</x:v>
      </x:c>
      <x:c r="B43" s="24" t="str">
        <x:v>P08-S05-I005-S1-06B-F03</x:v>
      </x:c>
      <x:c r="C43" s="24" t="str">
        <x:v>STORYBOARD</x:v>
      </x:c>
      <x:c r="D43" s="24" t="str">
        <x:v>I005-S1-06B</x:v>
      </x:c>
      <x:c r="E43" s="24" t="str">
        <x:v>6</x:v>
      </x:c>
      <x:c r="F43" s="24" t="str">
        <x:v>B</x:v>
      </x:c>
      <x:c r="G43" s="24" t="str">
        <x:v>Ga tuyết lông vũ</x:v>
      </x:c>
      <x:c r="H43" s="24" t="str">
        <x:v>F03</x:v>
      </x:c>
      <x:c r="I43" s="24" t="str">
        <x:v>7-10s</x:v>
      </x:c>
      <x:c r="J43" s="24" t="str">
        <x:v>STANDARD_0-2_2-7_7-9_9-10</x:v>
      </x:c>
      <x:c r="K43" s="24" t="str">
        <x:v>CLOSING_STATE</x:v>
      </x:c>
      <x:c r="L43" s="24" t="str">
        <x:v>P08-S05-MEO-PRIMARY.REFERENCE.png|P08-S05-MEO-SECONDARY.REFERENCE.png|P08-S05-BO-FRONT.REFERENCE.jpg|P08-S05-BO-SIDE.REFERENCE.jpg</x:v>
      </x:c>
      <x:c r="M43" s="24" t="str">
        <x:v>P08-S05-I005-S1-06B-F03</x:v>
      </x:c>
      <x:c r="N43" s="25" t="str">
        <x:v>PASS</x:v>
      </x:c>
    </x:row>
    <x:row r="44" ht="78" customHeight="1">
      <x:c r="A44" s="57" t="n">
        <x:v>43</x:v>
      </x:c>
      <x:c r="B44" s="24" t="str">
        <x:v>P08-S05-I005-S1-07A-F01</x:v>
      </x:c>
      <x:c r="C44" s="24" t="str">
        <x:v>STORYBOARD</x:v>
      </x:c>
      <x:c r="D44" s="24" t="str">
        <x:v>I005-S1-07A</x:v>
      </x:c>
      <x:c r="E44" s="24" t="str">
        <x:v>7</x:v>
      </x:c>
      <x:c r="F44" s="24" t="str">
        <x:v>A</x:v>
      </x:c>
      <x:c r="G44" s="24" t="str">
        <x:v>Ga thủy cung mặt trăng</x:v>
      </x:c>
      <x:c r="H44" s="24" t="str">
        <x:v>F01</x:v>
      </x:c>
      <x:c r="I44" s="24" t="str">
        <x:v>0-2s</x:v>
      </x:c>
      <x:c r="J44" s="24" t="str">
        <x:v>STANDARD_0-2_2-7_7-9_9-10</x:v>
      </x:c>
      <x:c r="K44" s="24" t="str">
        <x:v>OPENING</x:v>
      </x:c>
      <x:c r="L44" s="24" t="str">
        <x:v>P08-S05-MEO-PRIMARY.REFERENCE.png|P08-S05-MEO-SECONDARY.REFERENCE.png|P08-S05-BO-FRONT.REFERENCE.jpg|P08-S05-BO-SIDE.REFERENCE.jpg</x:v>
      </x:c>
      <x:c r="M44" s="24" t="str">
        <x:v>P08-S05-I005-S1-07A-F01</x:v>
      </x:c>
      <x:c r="N44" s="25" t="str">
        <x:v>PASS</x:v>
      </x:c>
    </x:row>
    <x:row r="45" ht="78" customHeight="1">
      <x:c r="A45" s="57" t="n">
        <x:v>44</x:v>
      </x:c>
      <x:c r="B45" s="24" t="str">
        <x:v>P08-S05-I005-S1-07A-F02</x:v>
      </x:c>
      <x:c r="C45" s="24" t="str">
        <x:v>STORYBOARD</x:v>
      </x:c>
      <x:c r="D45" s="24" t="str">
        <x:v>I005-S1-07A</x:v>
      </x:c>
      <x:c r="E45" s="24" t="str">
        <x:v>7</x:v>
      </x:c>
      <x:c r="F45" s="24" t="str">
        <x:v>A</x:v>
      </x:c>
      <x:c r="G45" s="24" t="str">
        <x:v>Ga thủy cung mặt trăng</x:v>
      </x:c>
      <x:c r="H45" s="24" t="str">
        <x:v>F02</x:v>
      </x:c>
      <x:c r="I45" s="24" t="str">
        <x:v>2-7s</x:v>
      </x:c>
      <x:c r="J45" s="24" t="str">
        <x:v>STANDARD_0-2_2-7_7-9_9-10</x:v>
      </x:c>
      <x:c r="K45" s="24" t="str">
        <x:v>CAUSAL_ACTION</x:v>
      </x:c>
      <x:c r="L45" s="24" t="str">
        <x:v>P08-S05-MEO-PRIMARY.REFERENCE.png|P08-S05-MEO-SECONDARY.REFERENCE.png|P08-S05-BO-FRONT.REFERENCE.jpg|P08-S05-BO-SIDE.REFERENCE.jpg</x:v>
      </x:c>
      <x:c r="M45" s="24" t="str">
        <x:v>P08-S05-I005-S1-07A-F02</x:v>
      </x:c>
      <x:c r="N45" s="25" t="str">
        <x:v>PASS</x:v>
      </x:c>
    </x:row>
    <x:row r="46" ht="78" customHeight="1">
      <x:c r="A46" s="57" t="n">
        <x:v>45</x:v>
      </x:c>
      <x:c r="B46" s="24" t="str">
        <x:v>P08-S05-I005-S1-07A-F03</x:v>
      </x:c>
      <x:c r="C46" s="24" t="str">
        <x:v>STORYBOARD</x:v>
      </x:c>
      <x:c r="D46" s="24" t="str">
        <x:v>I005-S1-07A</x:v>
      </x:c>
      <x:c r="E46" s="24" t="str">
        <x:v>7</x:v>
      </x:c>
      <x:c r="F46" s="24" t="str">
        <x:v>A</x:v>
      </x:c>
      <x:c r="G46" s="24" t="str">
        <x:v>Ga thủy cung mặt trăng</x:v>
      </x:c>
      <x:c r="H46" s="24" t="str">
        <x:v>F03</x:v>
      </x:c>
      <x:c r="I46" s="24" t="str">
        <x:v>7-10s</x:v>
      </x:c>
      <x:c r="J46" s="24" t="str">
        <x:v>STANDARD_0-2_2-7_7-9_9-10</x:v>
      </x:c>
      <x:c r="K46" s="24" t="str">
        <x:v>CLOSING_STATE</x:v>
      </x:c>
      <x:c r="L46" s="24" t="str">
        <x:v>P08-S05-MEO-PRIMARY.REFERENCE.png|P08-S05-MEO-SECONDARY.REFERENCE.png|P08-S05-BO-FRONT.REFERENCE.jpg|P08-S05-BO-SIDE.REFERENCE.jpg</x:v>
      </x:c>
      <x:c r="M46" s="24" t="str">
        <x:v>P08-S05-I005-S1-07A-F03</x:v>
      </x:c>
      <x:c r="N46" s="25" t="str">
        <x:v>PASS</x:v>
      </x:c>
    </x:row>
    <x:row r="47" ht="78" customHeight="1">
      <x:c r="A47" s="57" t="n">
        <x:v>46</x:v>
      </x:c>
      <x:c r="B47" s="24" t="str">
        <x:v>P08-S05-I005-S1-07B-F01</x:v>
      </x:c>
      <x:c r="C47" s="24" t="str">
        <x:v>STORYBOARD</x:v>
      </x:c>
      <x:c r="D47" s="24" t="str">
        <x:v>I005-S1-07B</x:v>
      </x:c>
      <x:c r="E47" s="24" t="str">
        <x:v>7</x:v>
      </x:c>
      <x:c r="F47" s="24" t="str">
        <x:v>B</x:v>
      </x:c>
      <x:c r="G47" s="24" t="str">
        <x:v>Ga thủy cung mặt trăng</x:v>
      </x:c>
      <x:c r="H47" s="24" t="str">
        <x:v>F01</x:v>
      </x:c>
      <x:c r="I47" s="24" t="str">
        <x:v>0-2s</x:v>
      </x:c>
      <x:c r="J47" s="24" t="str">
        <x:v>STANDARD_0-2_2-7_7-9_9-10</x:v>
      </x:c>
      <x:c r="K47" s="24" t="str">
        <x:v>OPENING</x:v>
      </x:c>
      <x:c r="L47" s="24" t="str">
        <x:v>P08-S05-MEO-PRIMARY.REFERENCE.png|P08-S05-MEO-SECONDARY.REFERENCE.png|P08-S05-BO-FRONT.REFERENCE.jpg|P08-S05-BO-SIDE.REFERENCE.jpg</x:v>
      </x:c>
      <x:c r="M47" s="24" t="str">
        <x:v>P08-S05-I005-S1-07B-F01</x:v>
      </x:c>
      <x:c r="N47" s="25" t="str">
        <x:v>PASS</x:v>
      </x:c>
    </x:row>
    <x:row r="48" ht="78" customHeight="1">
      <x:c r="A48" s="57" t="n">
        <x:v>47</x:v>
      </x:c>
      <x:c r="B48" s="24" t="str">
        <x:v>P08-S05-I005-S1-07B-F02</x:v>
      </x:c>
      <x:c r="C48" s="24" t="str">
        <x:v>STORYBOARD</x:v>
      </x:c>
      <x:c r="D48" s="24" t="str">
        <x:v>I005-S1-07B</x:v>
      </x:c>
      <x:c r="E48" s="24" t="str">
        <x:v>7</x:v>
      </x:c>
      <x:c r="F48" s="24" t="str">
        <x:v>B</x:v>
      </x:c>
      <x:c r="G48" s="24" t="str">
        <x:v>Ga thủy cung mặt trăng</x:v>
      </x:c>
      <x:c r="H48" s="24" t="str">
        <x:v>F02</x:v>
      </x:c>
      <x:c r="I48" s="24" t="str">
        <x:v>2-7s</x:v>
      </x:c>
      <x:c r="J48" s="24" t="str">
        <x:v>STANDARD_0-2_2-7_7-9_9-10</x:v>
      </x:c>
      <x:c r="K48" s="24" t="str">
        <x:v>CAUSAL_ACTION</x:v>
      </x:c>
      <x:c r="L48" s="24" t="str">
        <x:v>P08-S05-MEO-PRIMARY.REFERENCE.png|P08-S05-MEO-SECONDARY.REFERENCE.png|P08-S05-BO-FRONT.REFERENCE.jpg|P08-S05-BO-SIDE.REFERENCE.jpg</x:v>
      </x:c>
      <x:c r="M48" s="24" t="str">
        <x:v>P08-S05-I005-S1-07B-F02</x:v>
      </x:c>
      <x:c r="N48" s="25" t="str">
        <x:v>PASS</x:v>
      </x:c>
    </x:row>
    <x:row r="49" ht="78" customHeight="1">
      <x:c r="A49" s="57" t="n">
        <x:v>48</x:v>
      </x:c>
      <x:c r="B49" s="24" t="str">
        <x:v>P08-S05-I005-S1-07B-F03</x:v>
      </x:c>
      <x:c r="C49" s="24" t="str">
        <x:v>STORYBOARD</x:v>
      </x:c>
      <x:c r="D49" s="24" t="str">
        <x:v>I005-S1-07B</x:v>
      </x:c>
      <x:c r="E49" s="24" t="str">
        <x:v>7</x:v>
      </x:c>
      <x:c r="F49" s="24" t="str">
        <x:v>B</x:v>
      </x:c>
      <x:c r="G49" s="24" t="str">
        <x:v>Ga thủy cung mặt trăng</x:v>
      </x:c>
      <x:c r="H49" s="24" t="str">
        <x:v>F03</x:v>
      </x:c>
      <x:c r="I49" s="24" t="str">
        <x:v>7-10s</x:v>
      </x:c>
      <x:c r="J49" s="24" t="str">
        <x:v>STANDARD_0-2_2-7_7-9_9-10</x:v>
      </x:c>
      <x:c r="K49" s="24" t="str">
        <x:v>CLOSING_STATE</x:v>
      </x:c>
      <x:c r="L49" s="24" t="str">
        <x:v>P08-S05-MEO-PRIMARY.REFERENCE.png|P08-S05-MEO-SECONDARY.REFERENCE.png|P08-S05-BO-FRONT.REFERENCE.jpg|P08-S05-BO-SIDE.REFERENCE.jpg</x:v>
      </x:c>
      <x:c r="M49" s="24" t="str">
        <x:v>P08-S05-I005-S1-07B-F03</x:v>
      </x:c>
      <x:c r="N49" s="25" t="str">
        <x:v>PASS</x:v>
      </x:c>
    </x:row>
    <x:row r="50" ht="78" customHeight="1">
      <x:c r="A50" s="57" t="n">
        <x:v>49</x:v>
      </x:c>
      <x:c r="B50" s="24" t="str">
        <x:v>P08-S05-I005-S1-08A-F01</x:v>
      </x:c>
      <x:c r="C50" s="24" t="str">
        <x:v>STORYBOARD</x:v>
      </x:c>
      <x:c r="D50" s="24" t="str">
        <x:v>I005-S1-08A</x:v>
      </x:c>
      <x:c r="E50" s="24" t="str">
        <x:v>8</x:v>
      </x:c>
      <x:c r="F50" s="24" t="str">
        <x:v>A</x:v>
      </x:c>
      <x:c r="G50" s="24" t="str">
        <x:v>Ga bầu trời patchwork</x:v>
      </x:c>
      <x:c r="H50" s="24" t="str">
        <x:v>F01</x:v>
      </x:c>
      <x:c r="I50" s="24" t="str">
        <x:v>0-2s</x:v>
      </x:c>
      <x:c r="J50" s="24" t="str">
        <x:v>STANDARD_0-2_2-7_7-9_9-10</x:v>
      </x:c>
      <x:c r="K50" s="24" t="str">
        <x:v>OPENING</x:v>
      </x:c>
      <x:c r="L50" s="24" t="str">
        <x:v>P08-S05-MEO-PRIMARY.REFERENCE.png|P08-S05-MEO-SECONDARY.REFERENCE.png|P08-S05-BO-FRONT.REFERENCE.jpg|P08-S05-BO-SIDE.REFERENCE.jpg</x:v>
      </x:c>
      <x:c r="M50" s="24" t="str">
        <x:v>P08-S05-I005-S1-08A-F01</x:v>
      </x:c>
      <x:c r="N50" s="25" t="str">
        <x:v>PASS</x:v>
      </x:c>
    </x:row>
    <x:row r="51" ht="78" customHeight="1">
      <x:c r="A51" s="57" t="n">
        <x:v>50</x:v>
      </x:c>
      <x:c r="B51" s="24" t="str">
        <x:v>P08-S05-I005-S1-08A-F02</x:v>
      </x:c>
      <x:c r="C51" s="24" t="str">
        <x:v>STORYBOARD</x:v>
      </x:c>
      <x:c r="D51" s="24" t="str">
        <x:v>I005-S1-08A</x:v>
      </x:c>
      <x:c r="E51" s="24" t="str">
        <x:v>8</x:v>
      </x:c>
      <x:c r="F51" s="24" t="str">
        <x:v>A</x:v>
      </x:c>
      <x:c r="G51" s="24" t="str">
        <x:v>Ga bầu trời patchwork</x:v>
      </x:c>
      <x:c r="H51" s="24" t="str">
        <x:v>F02</x:v>
      </x:c>
      <x:c r="I51" s="24" t="str">
        <x:v>2-7s</x:v>
      </x:c>
      <x:c r="J51" s="24" t="str">
        <x:v>STANDARD_0-2_2-7_7-9_9-10</x:v>
      </x:c>
      <x:c r="K51" s="24" t="str">
        <x:v>CAUSAL_ACTION</x:v>
      </x:c>
      <x:c r="L51" s="24" t="str">
        <x:v>P08-S05-MEO-PRIMARY.REFERENCE.png|P08-S05-MEO-SECONDARY.REFERENCE.png|P08-S05-BO-FRONT.REFERENCE.jpg|P08-S05-BO-SIDE.REFERENCE.jpg</x:v>
      </x:c>
      <x:c r="M51" s="24" t="str">
        <x:v>P08-S05-I005-S1-08A-F02</x:v>
      </x:c>
      <x:c r="N51" s="25" t="str">
        <x:v>PASS</x:v>
      </x:c>
    </x:row>
    <x:row r="52" ht="78" customHeight="1">
      <x:c r="A52" s="57" t="n">
        <x:v>51</x:v>
      </x:c>
      <x:c r="B52" s="24" t="str">
        <x:v>P08-S05-I005-S1-08A-F03</x:v>
      </x:c>
      <x:c r="C52" s="24" t="str">
        <x:v>STORYBOARD</x:v>
      </x:c>
      <x:c r="D52" s="24" t="str">
        <x:v>I005-S1-08A</x:v>
      </x:c>
      <x:c r="E52" s="24" t="str">
        <x:v>8</x:v>
      </x:c>
      <x:c r="F52" s="24" t="str">
        <x:v>A</x:v>
      </x:c>
      <x:c r="G52" s="24" t="str">
        <x:v>Ga bầu trời patchwork</x:v>
      </x:c>
      <x:c r="H52" s="24" t="str">
        <x:v>F03</x:v>
      </x:c>
      <x:c r="I52" s="24" t="str">
        <x:v>7-10s</x:v>
      </x:c>
      <x:c r="J52" s="24" t="str">
        <x:v>STANDARD_0-2_2-7_7-9_9-10</x:v>
      </x:c>
      <x:c r="K52" s="24" t="str">
        <x:v>CLOSING_STATE</x:v>
      </x:c>
      <x:c r="L52" s="24" t="str">
        <x:v>P08-S05-MEO-PRIMARY.REFERENCE.png|P08-S05-MEO-SECONDARY.REFERENCE.png|P08-S05-BO-FRONT.REFERENCE.jpg|P08-S05-BO-SIDE.REFERENCE.jpg</x:v>
      </x:c>
      <x:c r="M52" s="24" t="str">
        <x:v>P08-S05-I005-S1-08A-F03</x:v>
      </x:c>
      <x:c r="N52" s="25" t="str">
        <x:v>PASS</x:v>
      </x:c>
    </x:row>
    <x:row r="53" ht="78" customHeight="1">
      <x:c r="A53" s="57" t="n">
        <x:v>52</x:v>
      </x:c>
      <x:c r="B53" s="24" t="str">
        <x:v>P08-S05-I005-S1-08B-F01</x:v>
      </x:c>
      <x:c r="C53" s="24" t="str">
        <x:v>STORYBOARD</x:v>
      </x:c>
      <x:c r="D53" s="24" t="str">
        <x:v>I005-S1-08B</x:v>
      </x:c>
      <x:c r="E53" s="24" t="str">
        <x:v>8</x:v>
      </x:c>
      <x:c r="F53" s="24" t="str">
        <x:v>B</x:v>
      </x:c>
      <x:c r="G53" s="24" t="str">
        <x:v>Ga bầu trời patchwork</x:v>
      </x:c>
      <x:c r="H53" s="24" t="str">
        <x:v>F01</x:v>
      </x:c>
      <x:c r="I53" s="24" t="str">
        <x:v>0-2s</x:v>
      </x:c>
      <x:c r="J53" s="24" t="str">
        <x:v>STANDARD_0-2_2-7_7-9_9-10</x:v>
      </x:c>
      <x:c r="K53" s="24" t="str">
        <x:v>OPENING</x:v>
      </x:c>
      <x:c r="L53" s="24" t="str">
        <x:v>P08-S05-MEO-PRIMARY.REFERENCE.png|P08-S05-MEO-SECONDARY.REFERENCE.png|P08-S05-BO-FRONT.REFERENCE.jpg|P08-S05-BO-SIDE.REFERENCE.jpg</x:v>
      </x:c>
      <x:c r="M53" s="24" t="str">
        <x:v>P08-S05-I005-S1-08B-F01</x:v>
      </x:c>
      <x:c r="N53" s="25" t="str">
        <x:v>PASS</x:v>
      </x:c>
    </x:row>
    <x:row r="54" ht="78" customHeight="1">
      <x:c r="A54" s="57" t="n">
        <x:v>53</x:v>
      </x:c>
      <x:c r="B54" s="24" t="str">
        <x:v>P08-S05-I005-S1-08B-F02</x:v>
      </x:c>
      <x:c r="C54" s="24" t="str">
        <x:v>STORYBOARD</x:v>
      </x:c>
      <x:c r="D54" s="24" t="str">
        <x:v>I005-S1-08B</x:v>
      </x:c>
      <x:c r="E54" s="24" t="str">
        <x:v>8</x:v>
      </x:c>
      <x:c r="F54" s="24" t="str">
        <x:v>B</x:v>
      </x:c>
      <x:c r="G54" s="24" t="str">
        <x:v>Ga bầu trời patchwork</x:v>
      </x:c>
      <x:c r="H54" s="24" t="str">
        <x:v>F02</x:v>
      </x:c>
      <x:c r="I54" s="24" t="str">
        <x:v>2-7s</x:v>
      </x:c>
      <x:c r="J54" s="24" t="str">
        <x:v>STANDARD_0-2_2-7_7-9_9-10</x:v>
      </x:c>
      <x:c r="K54" s="24" t="str">
        <x:v>CAUSAL_ACTION</x:v>
      </x:c>
      <x:c r="L54" s="24" t="str">
        <x:v>P08-S05-MEO-PRIMARY.REFERENCE.png|P08-S05-MEO-SECONDARY.REFERENCE.png|P08-S05-BO-FRONT.REFERENCE.jpg|P08-S05-BO-SIDE.REFERENCE.jpg</x:v>
      </x:c>
      <x:c r="M54" s="24" t="str">
        <x:v>P08-S05-I005-S1-08B-F02</x:v>
      </x:c>
      <x:c r="N54" s="25" t="str">
        <x:v>PASS</x:v>
      </x:c>
    </x:row>
    <x:row r="55" ht="78" customHeight="1">
      <x:c r="A55" s="57" t="n">
        <x:v>54</x:v>
      </x:c>
      <x:c r="B55" s="24" t="str">
        <x:v>P08-S05-I005-S1-08B-F03</x:v>
      </x:c>
      <x:c r="C55" s="24" t="str">
        <x:v>STORYBOARD</x:v>
      </x:c>
      <x:c r="D55" s="24" t="str">
        <x:v>I005-S1-08B</x:v>
      </x:c>
      <x:c r="E55" s="24" t="str">
        <x:v>8</x:v>
      </x:c>
      <x:c r="F55" s="24" t="str">
        <x:v>B</x:v>
      </x:c>
      <x:c r="G55" s="24" t="str">
        <x:v>Ga bầu trời patchwork</x:v>
      </x:c>
      <x:c r="H55" s="24" t="str">
        <x:v>F03</x:v>
      </x:c>
      <x:c r="I55" s="24" t="str">
        <x:v>7-10s</x:v>
      </x:c>
      <x:c r="J55" s="24" t="str">
        <x:v>STANDARD_0-2_2-7_7-9_9-10</x:v>
      </x:c>
      <x:c r="K55" s="24" t="str">
        <x:v>CLOSING_STATE</x:v>
      </x:c>
      <x:c r="L55" s="24" t="str">
        <x:v>P08-S05-MEO-PRIMARY.REFERENCE.png|P08-S05-MEO-SECONDARY.REFERENCE.png|P08-S05-BO-FRONT.REFERENCE.jpg|P08-S05-BO-SIDE.REFERENCE.jpg</x:v>
      </x:c>
      <x:c r="M55" s="24" t="str">
        <x:v>P08-S05-I005-S1-08B-F03</x:v>
      </x:c>
      <x:c r="N55" s="25" t="str">
        <x:v>PASS</x:v>
      </x:c>
    </x:row>
    <x:row r="56" ht="78" customHeight="1">
      <x:c r="A56" s="57" t="n">
        <x:v>55</x:v>
      </x:c>
      <x:c r="B56" s="24" t="str">
        <x:v>P08-S05-I005-S1-09A-F01</x:v>
      </x:c>
      <x:c r="C56" s="24" t="str">
        <x:v>STORYBOARD</x:v>
      </x:c>
      <x:c r="D56" s="24" t="str">
        <x:v>I005-S1-09A</x:v>
      </x:c>
      <x:c r="E56" s="24" t="str">
        <x:v>9</x:v>
      </x:c>
      <x:c r="F56" s="24" t="str">
        <x:v>A</x:v>
      </x:c>
      <x:c r="G56" s="24" t="str">
        <x:v>Ga hồ gợn sóng</x:v>
      </x:c>
      <x:c r="H56" s="24" t="str">
        <x:v>F01</x:v>
      </x:c>
      <x:c r="I56" s="24" t="str">
        <x:v>0-2s</x:v>
      </x:c>
      <x:c r="J56" s="24" t="str">
        <x:v>STANDARD_0-2_2-7_7-9_9-10</x:v>
      </x:c>
      <x:c r="K56" s="24" t="str">
        <x:v>OPENING</x:v>
      </x:c>
      <x:c r="L56" s="24" t="str">
        <x:v>P08-S05-MEO-PRIMARY.REFERENCE.png|P08-S05-MEO-SECONDARY.REFERENCE.png|P08-S05-BO-FRONT.REFERENCE.jpg|P08-S05-BO-SIDE.REFERENCE.jpg</x:v>
      </x:c>
      <x:c r="M56" s="24" t="str">
        <x:v>P08-S05-I005-S1-09A-F01</x:v>
      </x:c>
      <x:c r="N56" s="25" t="str">
        <x:v>PASS</x:v>
      </x:c>
    </x:row>
    <x:row r="57" ht="78" customHeight="1">
      <x:c r="A57" s="57" t="n">
        <x:v>56</x:v>
      </x:c>
      <x:c r="B57" s="24" t="str">
        <x:v>P08-S05-I005-S1-09A-F02</x:v>
      </x:c>
      <x:c r="C57" s="24" t="str">
        <x:v>STORYBOARD</x:v>
      </x:c>
      <x:c r="D57" s="24" t="str">
        <x:v>I005-S1-09A</x:v>
      </x:c>
      <x:c r="E57" s="24" t="str">
        <x:v>9</x:v>
      </x:c>
      <x:c r="F57" s="24" t="str">
        <x:v>A</x:v>
      </x:c>
      <x:c r="G57" s="24" t="str">
        <x:v>Ga hồ gợn sóng</x:v>
      </x:c>
      <x:c r="H57" s="24" t="str">
        <x:v>F02</x:v>
      </x:c>
      <x:c r="I57" s="24" t="str">
        <x:v>2-7s</x:v>
      </x:c>
      <x:c r="J57" s="24" t="str">
        <x:v>STANDARD_0-2_2-7_7-9_9-10</x:v>
      </x:c>
      <x:c r="K57" s="24" t="str">
        <x:v>CAUSAL_ACTION</x:v>
      </x:c>
      <x:c r="L57" s="24" t="str">
        <x:v>P08-S05-MEO-PRIMARY.REFERENCE.png|P08-S05-MEO-SECONDARY.REFERENCE.png|P08-S05-BO-FRONT.REFERENCE.jpg|P08-S05-BO-SIDE.REFERENCE.jpg</x:v>
      </x:c>
      <x:c r="M57" s="24" t="str">
        <x:v>P08-S05-I005-S1-09A-F02</x:v>
      </x:c>
      <x:c r="N57" s="25" t="str">
        <x:v>PASS</x:v>
      </x:c>
    </x:row>
    <x:row r="58" ht="78" customHeight="1">
      <x:c r="A58" s="57" t="n">
        <x:v>57</x:v>
      </x:c>
      <x:c r="B58" s="24" t="str">
        <x:v>P08-S05-I005-S1-09A-F03</x:v>
      </x:c>
      <x:c r="C58" s="24" t="str">
        <x:v>STORYBOARD</x:v>
      </x:c>
      <x:c r="D58" s="24" t="str">
        <x:v>I005-S1-09A</x:v>
      </x:c>
      <x:c r="E58" s="24" t="str">
        <x:v>9</x:v>
      </x:c>
      <x:c r="F58" s="24" t="str">
        <x:v>A</x:v>
      </x:c>
      <x:c r="G58" s="24" t="str">
        <x:v>Ga hồ gợn sóng</x:v>
      </x:c>
      <x:c r="H58" s="24" t="str">
        <x:v>F03</x:v>
      </x:c>
      <x:c r="I58" s="24" t="str">
        <x:v>7-10s</x:v>
      </x:c>
      <x:c r="J58" s="24" t="str">
        <x:v>STANDARD_0-2_2-7_7-9_9-10</x:v>
      </x:c>
      <x:c r="K58" s="24" t="str">
        <x:v>CLOSING_STATE</x:v>
      </x:c>
      <x:c r="L58" s="24" t="str">
        <x:v>P08-S05-MEO-PRIMARY.REFERENCE.png|P08-S05-MEO-SECONDARY.REFERENCE.png|P08-S05-BO-FRONT.REFERENCE.jpg|P08-S05-BO-SIDE.REFERENCE.jpg</x:v>
      </x:c>
      <x:c r="M58" s="24" t="str">
        <x:v>P08-S05-I005-S1-09A-F03</x:v>
      </x:c>
      <x:c r="N58" s="25" t="str">
        <x:v>PASS</x:v>
      </x:c>
    </x:row>
    <x:row r="59" ht="78" customHeight="1">
      <x:c r="A59" s="57" t="n">
        <x:v>58</x:v>
      </x:c>
      <x:c r="B59" s="24" t="str">
        <x:v>P08-S05-I005-S1-09B-F01</x:v>
      </x:c>
      <x:c r="C59" s="24" t="str">
        <x:v>STORYBOARD</x:v>
      </x:c>
      <x:c r="D59" s="24" t="str">
        <x:v>I005-S1-09B</x:v>
      </x:c>
      <x:c r="E59" s="24" t="str">
        <x:v>9</x:v>
      </x:c>
      <x:c r="F59" s="24" t="str">
        <x:v>B</x:v>
      </x:c>
      <x:c r="G59" s="24" t="str">
        <x:v>Ga hồ gợn sóng</x:v>
      </x:c>
      <x:c r="H59" s="24" t="str">
        <x:v>F01</x:v>
      </x:c>
      <x:c r="I59" s="24" t="str">
        <x:v>0-2s</x:v>
      </x:c>
      <x:c r="J59" s="24" t="str">
        <x:v>STANDARD_0-2_2-7_7-9_9-10</x:v>
      </x:c>
      <x:c r="K59" s="24" t="str">
        <x:v>OPENING</x:v>
      </x:c>
      <x:c r="L59" s="24" t="str">
        <x:v>P08-S05-MEO-PRIMARY.REFERENCE.png|P08-S05-MEO-SECONDARY.REFERENCE.png|P08-S05-BO-FRONT.REFERENCE.jpg|P08-S05-BO-SIDE.REFERENCE.jpg</x:v>
      </x:c>
      <x:c r="M59" s="24" t="str">
        <x:v>P08-S05-I005-S1-09B-F01</x:v>
      </x:c>
      <x:c r="N59" s="25" t="str">
        <x:v>PASS</x:v>
      </x:c>
    </x:row>
    <x:row r="60" ht="78" customHeight="1">
      <x:c r="A60" s="57" t="n">
        <x:v>59</x:v>
      </x:c>
      <x:c r="B60" s="24" t="str">
        <x:v>P08-S05-I005-S1-09B-F02</x:v>
      </x:c>
      <x:c r="C60" s="24" t="str">
        <x:v>STORYBOARD</x:v>
      </x:c>
      <x:c r="D60" s="24" t="str">
        <x:v>I005-S1-09B</x:v>
      </x:c>
      <x:c r="E60" s="24" t="str">
        <x:v>9</x:v>
      </x:c>
      <x:c r="F60" s="24" t="str">
        <x:v>B</x:v>
      </x:c>
      <x:c r="G60" s="24" t="str">
        <x:v>Ga hồ gợn sóng</x:v>
      </x:c>
      <x:c r="H60" s="24" t="str">
        <x:v>F02</x:v>
      </x:c>
      <x:c r="I60" s="24" t="str">
        <x:v>2-7s</x:v>
      </x:c>
      <x:c r="J60" s="24" t="str">
        <x:v>STANDARD_0-2_2-7_7-9_9-10</x:v>
      </x:c>
      <x:c r="K60" s="24" t="str">
        <x:v>CAUSAL_ACTION</x:v>
      </x:c>
      <x:c r="L60" s="24" t="str">
        <x:v>P08-S05-MEO-PRIMARY.REFERENCE.png|P08-S05-MEO-SECONDARY.REFERENCE.png|P08-S05-BO-FRONT.REFERENCE.jpg|P08-S05-BO-SIDE.REFERENCE.jpg</x:v>
      </x:c>
      <x:c r="M60" s="24" t="str">
        <x:v>P08-S05-I005-S1-09B-F02</x:v>
      </x:c>
      <x:c r="N60" s="25" t="str">
        <x:v>PASS</x:v>
      </x:c>
    </x:row>
    <x:row r="61" ht="78" customHeight="1">
      <x:c r="A61" s="57" t="n">
        <x:v>60</x:v>
      </x:c>
      <x:c r="B61" s="24" t="str">
        <x:v>P08-S05-I005-S1-09B-F03</x:v>
      </x:c>
      <x:c r="C61" s="24" t="str">
        <x:v>STORYBOARD</x:v>
      </x:c>
      <x:c r="D61" s="24" t="str">
        <x:v>I005-S1-09B</x:v>
      </x:c>
      <x:c r="E61" s="24" t="str">
        <x:v>9</x:v>
      </x:c>
      <x:c r="F61" s="24" t="str">
        <x:v>B</x:v>
      </x:c>
      <x:c r="G61" s="24" t="str">
        <x:v>Ga hồ gợn sóng</x:v>
      </x:c>
      <x:c r="H61" s="24" t="str">
        <x:v>F03</x:v>
      </x:c>
      <x:c r="I61" s="24" t="str">
        <x:v>7-10s</x:v>
      </x:c>
      <x:c r="J61" s="24" t="str">
        <x:v>STANDARD_0-2_2-7_7-9_9-10</x:v>
      </x:c>
      <x:c r="K61" s="24" t="str">
        <x:v>CLOSING_STATE</x:v>
      </x:c>
      <x:c r="L61" s="24" t="str">
        <x:v>P08-S05-MEO-PRIMARY.REFERENCE.png|P08-S05-MEO-SECONDARY.REFERENCE.png|P08-S05-BO-FRONT.REFERENCE.jpg|P08-S05-BO-SIDE.REFERENCE.jpg</x:v>
      </x:c>
      <x:c r="M61" s="24" t="str">
        <x:v>P08-S05-I005-S1-09B-F03</x:v>
      </x:c>
      <x:c r="N61" s="25" t="str">
        <x:v>PASS</x:v>
      </x:c>
    </x:row>
    <x:row r="62" ht="78" customHeight="1">
      <x:c r="A62" s="57" t="n">
        <x:v>61</x:v>
      </x:c>
      <x:c r="B62" s="24" t="str">
        <x:v>P08-S05-I005-S1-10A-F01</x:v>
      </x:c>
      <x:c r="C62" s="24" t="str">
        <x:v>STORYBOARD</x:v>
      </x:c>
      <x:c r="D62" s="24" t="str">
        <x:v>I005-S1-10A</x:v>
      </x:c>
      <x:c r="E62" s="24" t="str">
        <x:v>10</x:v>
      </x:c>
      <x:c r="F62" s="24" t="str">
        <x:v>A</x:v>
      </x:c>
      <x:c r="G62" s="24" t="str">
        <x:v>Ga giấc mơ về nhà</x:v>
      </x:c>
      <x:c r="H62" s="24" t="str">
        <x:v>F01</x:v>
      </x:c>
      <x:c r="I62" s="24" t="str">
        <x:v>0-2s</x:v>
      </x:c>
      <x:c r="J62" s="24" t="str">
        <x:v>STANDARD_0-2_2-7_7-9_9-10</x:v>
      </x:c>
      <x:c r="K62" s="24" t="str">
        <x:v>OPENING</x:v>
      </x:c>
      <x:c r="L62" s="24" t="str">
        <x:v>P08-S05-MEO-PRIMARY.REFERENCE.png|P08-S05-MEO-SECONDARY.REFERENCE.png|P08-S05-BO-FRONT.REFERENCE.jpg|P08-S05-BO-SIDE.REFERENCE.jpg</x:v>
      </x:c>
      <x:c r="M62" s="24" t="str">
        <x:v>P08-S05-I005-S1-10A-F01</x:v>
      </x:c>
      <x:c r="N62" s="25" t="str">
        <x:v>PASS</x:v>
      </x:c>
    </x:row>
    <x:row r="63" ht="78" customHeight="1">
      <x:c r="A63" s="57" t="n">
        <x:v>62</x:v>
      </x:c>
      <x:c r="B63" s="24" t="str">
        <x:v>P08-S05-I005-S1-10A-F02</x:v>
      </x:c>
      <x:c r="C63" s="24" t="str">
        <x:v>STORYBOARD</x:v>
      </x:c>
      <x:c r="D63" s="24" t="str">
        <x:v>I005-S1-10A</x:v>
      </x:c>
      <x:c r="E63" s="24" t="str">
        <x:v>10</x:v>
      </x:c>
      <x:c r="F63" s="24" t="str">
        <x:v>A</x:v>
      </x:c>
      <x:c r="G63" s="24" t="str">
        <x:v>Ga giấc mơ về nhà</x:v>
      </x:c>
      <x:c r="H63" s="24" t="str">
        <x:v>F02</x:v>
      </x:c>
      <x:c r="I63" s="24" t="str">
        <x:v>2-7s</x:v>
      </x:c>
      <x:c r="J63" s="24" t="str">
        <x:v>STANDARD_0-2_2-7_7-9_9-10</x:v>
      </x:c>
      <x:c r="K63" s="24" t="str">
        <x:v>CAUSAL_ACTION</x:v>
      </x:c>
      <x:c r="L63" s="24" t="str">
        <x:v>P08-S05-MEO-PRIMARY.REFERENCE.png|P08-S05-MEO-SECONDARY.REFERENCE.png|P08-S05-BO-FRONT.REFERENCE.jpg|P08-S05-BO-SIDE.REFERENCE.jpg</x:v>
      </x:c>
      <x:c r="M63" s="24" t="str">
        <x:v>P08-S05-I005-S1-10A-F02</x:v>
      </x:c>
      <x:c r="N63" s="25" t="str">
        <x:v>PASS</x:v>
      </x:c>
    </x:row>
    <x:row r="64" ht="78" customHeight="1">
      <x:c r="A64" s="57" t="n">
        <x:v>63</x:v>
      </x:c>
      <x:c r="B64" s="24" t="str">
        <x:v>P08-S05-I005-S1-10A-F03</x:v>
      </x:c>
      <x:c r="C64" s="24" t="str">
        <x:v>STORYBOARD</x:v>
      </x:c>
      <x:c r="D64" s="24" t="str">
        <x:v>I005-S1-10A</x:v>
      </x:c>
      <x:c r="E64" s="24" t="str">
        <x:v>10</x:v>
      </x:c>
      <x:c r="F64" s="24" t="str">
        <x:v>A</x:v>
      </x:c>
      <x:c r="G64" s="24" t="str">
        <x:v>Ga giấc mơ về nhà</x:v>
      </x:c>
      <x:c r="H64" s="24" t="str">
        <x:v>F03</x:v>
      </x:c>
      <x:c r="I64" s="24" t="str">
        <x:v>7-10s</x:v>
      </x:c>
      <x:c r="J64" s="24" t="str">
        <x:v>STANDARD_0-2_2-7_7-9_9-10</x:v>
      </x:c>
      <x:c r="K64" s="24" t="str">
        <x:v>CLOSING_STATE</x:v>
      </x:c>
      <x:c r="L64" s="24" t="str">
        <x:v>P08-S05-MEO-PRIMARY.REFERENCE.png|P08-S05-MEO-SECONDARY.REFERENCE.png|P08-S05-BO-FRONT.REFERENCE.jpg|P08-S05-BO-SIDE.REFERENCE.jpg</x:v>
      </x:c>
      <x:c r="M64" s="24" t="str">
        <x:v>P08-S05-I005-S1-10A-F03</x:v>
      </x:c>
      <x:c r="N64" s="25" t="str">
        <x:v>PASS</x:v>
      </x:c>
    </x:row>
    <x:row r="65" ht="78" customHeight="1">
      <x:c r="A65" s="57" t="n">
        <x:v>64</x:v>
      </x:c>
      <x:c r="B65" s="24" t="str">
        <x:v>P08-S05-I005-S1-10B-F01</x:v>
      </x:c>
      <x:c r="C65" s="24" t="str">
        <x:v>STORYBOARD</x:v>
      </x:c>
      <x:c r="D65" s="24" t="str">
        <x:v>I005-S1-10B</x:v>
      </x:c>
      <x:c r="E65" s="24" t="str">
        <x:v>10</x:v>
      </x:c>
      <x:c r="F65" s="24" t="str">
        <x:v>B</x:v>
      </x:c>
      <x:c r="G65" s="24" t="str">
        <x:v>Ga giấc mơ về nhà</x:v>
      </x:c>
      <x:c r="H65" s="24" t="str">
        <x:v>F01</x:v>
      </x:c>
      <x:c r="I65" s="24" t="str">
        <x:v>0-2s</x:v>
      </x:c>
      <x:c r="J65" s="24" t="str">
        <x:v>STANDARD_0-2_2-7_7-9_9-10</x:v>
      </x:c>
      <x:c r="K65" s="24" t="str">
        <x:v>OPENING</x:v>
      </x:c>
      <x:c r="L65" s="24" t="str">
        <x:v>P08-S05-MEO-PRIMARY.REFERENCE.png|P08-S05-MEO-SECONDARY.REFERENCE.png|P08-S05-BO-FRONT.REFERENCE.jpg|P08-S05-BO-SIDE.REFERENCE.jpg</x:v>
      </x:c>
      <x:c r="M65" s="24" t="str">
        <x:v>P08-S05-I005-S1-10B-F01</x:v>
      </x:c>
      <x:c r="N65" s="25" t="str">
        <x:v>PASS</x:v>
      </x:c>
    </x:row>
    <x:row r="66" ht="78" customHeight="1">
      <x:c r="A66" s="57" t="n">
        <x:v>65</x:v>
      </x:c>
      <x:c r="B66" s="24" t="str">
        <x:v>P08-S05-I005-S1-10B-F02</x:v>
      </x:c>
      <x:c r="C66" s="24" t="str">
        <x:v>STORYBOARD</x:v>
      </x:c>
      <x:c r="D66" s="24" t="str">
        <x:v>I005-S1-10B</x:v>
      </x:c>
      <x:c r="E66" s="24" t="str">
        <x:v>10</x:v>
      </x:c>
      <x:c r="F66" s="24" t="str">
        <x:v>B</x:v>
      </x:c>
      <x:c r="G66" s="24" t="str">
        <x:v>Ga giấc mơ về nhà</x:v>
      </x:c>
      <x:c r="H66" s="24" t="str">
        <x:v>F02</x:v>
      </x:c>
      <x:c r="I66" s="24" t="str">
        <x:v>2-7s</x:v>
      </x:c>
      <x:c r="J66" s="24" t="str">
        <x:v>STANDARD_0-2_2-7_7-9_9-10</x:v>
      </x:c>
      <x:c r="K66" s="24" t="str">
        <x:v>CAUSAL_ACTION</x:v>
      </x:c>
      <x:c r="L66" s="24" t="str">
        <x:v>P08-S05-MEO-PRIMARY.REFERENCE.png|P08-S05-MEO-SECONDARY.REFERENCE.png|P08-S05-BO-FRONT.REFERENCE.jpg|P08-S05-BO-SIDE.REFERENCE.jpg</x:v>
      </x:c>
      <x:c r="M66" s="24" t="str">
        <x:v>P08-S05-I005-S1-10B-F02</x:v>
      </x:c>
      <x:c r="N66" s="25" t="str">
        <x:v>PASS</x:v>
      </x:c>
    </x:row>
    <x:row r="67" ht="78" customHeight="1">
      <x:c r="A67" s="58" t="n">
        <x:v>66</x:v>
      </x:c>
      <x:c r="B67" s="27" t="str">
        <x:v>P08-S05-I005-S1-10B-F03</x:v>
      </x:c>
      <x:c r="C67" s="27" t="str">
        <x:v>STORYBOARD</x:v>
      </x:c>
      <x:c r="D67" s="27" t="str">
        <x:v>I005-S1-10B</x:v>
      </x:c>
      <x:c r="E67" s="27" t="str">
        <x:v>10</x:v>
      </x:c>
      <x:c r="F67" s="27" t="str">
        <x:v>B</x:v>
      </x:c>
      <x:c r="G67" s="27" t="str">
        <x:v>Ga giấc mơ về nhà</x:v>
      </x:c>
      <x:c r="H67" s="27" t="str">
        <x:v>F03</x:v>
      </x:c>
      <x:c r="I67" s="27" t="str">
        <x:v>7-10s</x:v>
      </x:c>
      <x:c r="J67" s="27" t="str">
        <x:v>STANDARD_0-2_2-7_7-9_9-10</x:v>
      </x:c>
      <x:c r="K67" s="27" t="str">
        <x:v>CLOSING_STATE</x:v>
      </x:c>
      <x:c r="L67" s="27" t="str">
        <x:v>P08-S05-MEO-PRIMARY.REFERENCE.png|P08-S05-MEO-SECONDARY.REFERENCE.png|P08-S05-BO-FRONT.REFERENCE.jpg|P08-S05-BO-SIDE.REFERENCE.jpg</x:v>
      </x:c>
      <x:c r="M67" s="27" t="str">
        <x:v>P08-S05-I005-S1-10B-F03</x:v>
      </x:c>
      <x:c r="N67" s="28" t="str">
        <x:v>PASS</x:v>
      </x:c>
    </x:row>
  </x:sheetData>
  <x:pageMargins left="0.7" right="0.7" top="0.75" bottom="0.75" header="0.3" footer="0.3"/>
  <x:tableParts count="1">
    <x:tablePart xmlns:r="http://schemas.openxmlformats.org/officeDocument/2006/relationships" r:id="Rb6b47ce1c7464d0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8" hidden="0" customWidth="1"/>
    <x:col min="4" max="4" width="18" hidden="0" customWidth="1"/>
    <x:col min="5" max="5" width="18" hidden="0" customWidth="1"/>
    <x:col min="6" max="6" width="40" hidden="0" customWidth="1"/>
    <x:col min="7" max="7" width="112" hidden="0" customWidth="1"/>
    <x:col min="8" max="8" width="18" hidden="0" customWidth="1"/>
    <x:col min="9" max="9" width="18" hidden="0" customWidth="1"/>
    <x:col min="10" max="10" width="40" hidden="0" customWidth="1"/>
    <x:col min="11" max="11" width="40" hidden="0" customWidth="1"/>
    <x:col min="12" max="12" width="40" hidden="0" customWidth="1"/>
    <x:col min="13" max="13" width="40" hidden="0" customWidth="1"/>
    <x:col min="14" max="14" width="40" hidden="0" customWidth="1"/>
    <x:col min="15" max="15" width="40" hidden="0" customWidth="1"/>
    <x:col min="16" max="16" width="40" hidden="0" customWidth="1"/>
    <x:col min="17" max="17" width="40"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60" t="str">
        <x:v>Video ID</x:v>
      </x:c>
      <x:c r="B1" s="61" t="str">
        <x:v>Idea ID</x:v>
      </x:c>
      <x:c r="C1" s="61" t="str">
        <x:v>Season</x:v>
      </x:c>
      <x:c r="D1" s="61" t="str">
        <x:v>Story #</x:v>
      </x:c>
      <x:c r="E1" s="61" t="str">
        <x:v>Phần</x:v>
      </x:c>
      <x:c r="F1" s="61" t="str">
        <x:v>Tiêu đề story</x:v>
      </x:c>
      <x:c r="G1" s="61" t="str">
        <x:v>Prompt 10s — Copy vào Google Flow (GIỮ TIẾNG ANH)</x:v>
      </x:c>
      <x:c r="H1" s="61" t="str">
        <x:v>Mục tiêu phát triển</x:v>
      </x:c>
      <x:c r="I1" s="61" t="str">
        <x:v>Mục tiêu cảm xúc</x:v>
      </x:c>
      <x:c r="J1" s="61" t="str">
        <x:v>Bối cảnh</x:v>
      </x:c>
      <x:c r="K1" s="61" t="str">
        <x:v>Trạng thái mở đầu</x:v>
      </x:c>
      <x:c r="L1" s="61" t="str">
        <x:v>Sự kiện chính</x:v>
      </x:c>
      <x:c r="M1" s="61" t="str">
        <x:v>Hành động của Meo</x:v>
      </x:c>
      <x:c r="N1" s="61" t="str">
        <x:v>Hành động của Bố</x:v>
      </x:c>
      <x:c r="O1" s="61" t="str">
        <x:v>Trạng thái kết thúc</x:v>
      </x:c>
      <x:c r="P1" s="61" t="str">
        <x:v>Camera</x:v>
      </x:c>
      <x:c r="Q1" s="61" t="str">
        <x:v>Vật lý / Cơ chế</x:v>
      </x:c>
      <x:c r="R1" s="61" t="str">
        <x:v>Lời thoại</x:v>
      </x:c>
      <x:c r="S1" s="61" t="str">
        <x:v>Âm thanh</x:v>
      </x:c>
      <x:c r="T1" s="61" t="str">
        <x:v>Audit story</x:v>
      </x:c>
      <x:c r="U1" s="61" t="str">
        <x:v>Audit prompt</x:v>
      </x:c>
      <x:c r="V1" s="61" t="str">
        <x:v>Ghi chú QC</x:v>
      </x:c>
      <x:c r="W1" s="62" t="str">
        <x:v>Trạng thái</x:v>
      </x:c>
    </x:row>
    <x:row r="2" ht="340" customHeight="1">
      <x:c r="A2" s="57" t="str">
        <x:v>I005-S1-01A</x:v>
      </x:c>
      <x:c r="B2" s="24" t="str">
        <x:v>I-005</x:v>
      </x:c>
      <x:c r="C2" s="24" t="str">
        <x:v>Season 1</x:v>
      </x:c>
      <x:c r="D2" s="24" t="str">
        <x:v>1</x:v>
      </x:c>
      <x:c r="E2" s="24" t="str">
        <x:v>A</x:v>
      </x:c>
      <x:c r="F2" s="24" t="str">
        <x:v>Ga vòng quay mây</x:v>
      </x:c>
      <x:c r="G2"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three-quarter shot from inside the Dream Train toward its open door and the cloud station outside. No cuts.
Setting: the train has stopped beside Cloud Carousel Station, a bright dream world of soft cloud platforms circling a golden station post. One low cloud platform repeatedly passes the train-door threshold.
0–2s: Bố slides the padded train door fully open and holds the side rail. Meo watches the nearest cloud platform drift past the doorway and continue around the station.
2–7s: Bố operates a low docking lever once too early. A soft bridge tongue extends, but the cloud platform has already moved beyond it, so he retracts the tongue immediately. Meo watches the platform complete another circle and notices three star markers on the station post: far, near, and doorway. She compares the platform position with the repeating markers while Bố keeps the doorway clear.
7–9s: as the platform reaches the near marker again, Meo points to the doorway star and signals Bố to wait one more beat before using the lever.
9–10s: the cloud platform approaches the doorway star but has not aligned yet. End unresolved.
Physics: the platform follows a repeating circular path at steady speed; successful docking depends on extending the bridge when the platform reaches the doorway phase.
Audio: soft train hum, airy cloud whoosh, lever click, gentle bell. No dialogue.
Constraints: preserve identity, age and clothing; stable train interior; soft low cloud platform; no jumping, falling, exposed edges, dangerous gaps, extra characters, cuts or text.</x:v>
      </x:c>
      <x:c r="H2" s="24" t="str">
        <x:v>Chuyển động tuần hoàn + suy luận thời điểm theo pha</x:v>
      </x:c>
      <x:c r="I2" s="24" t="str">
        <x:v>Ngạc nhiên chuyển thành kiên nhẫn canh thời điểm và dự đoán</x:v>
      </x:c>
      <x:c r="J2" s="24" t="str">
        <x:v>Cửa Dream Train hướng ra ga mây tròn sáng</x:v>
      </x:c>
      <x:c r="K2" s="24" t="str">
        <x:v>Tàu dừng; bệ mây quay quanh ga; Bố ở ray cửa và cần docking; Meo cạnh dấu thời điểm</x:v>
      </x:c>
      <x:c r="L2" s="24" t="str">
        <x:v>Bệ mây chuyển động lặp lại qua cửa tàu; docking chỉ thành công khi cầu vươn ra đúng pha của bệ</x:v>
      </x:c>
      <x:c r="M2" s="24" t="str">
        <x:v>Quan sát các vị trí lặp của bệ, so sánh dấu sao và dự đoán đúng khoảnh khắc docking</x:v>
      </x:c>
      <x:c r="N2" s="24" t="str">
        <x:v>Mở và giữ cửa tàu, thử cần docking, thu cầu lại và chờ ở đúng dấu</x:v>
      </x:c>
      <x:c r="O2" s="24" t="str">
        <x:v>Bệ mây đang tới gần dấu sao trước cửa; cầu đã thu; chưa giải quyết</x:v>
      </x:c>
      <x:c r="P2" s="24" t="str">
        <x:v>Medium-wide three-quarter từ trong tàu nhìn ra ga; không cắt cảnh</x:v>
      </x:c>
      <x:c r="Q2" s="24" t="str">
        <x:v>Chuyển động tròn đều lặp lại cùng vị trí; cầu phải vươn đúng lúc bệ đi qua pha trước cửa</x:v>
      </x:c>
      <x:c r="R2" s="24" t="str">
        <x:v>Không thoại</x:v>
      </x:c>
      <x:c r="S2" s="24" t="str">
        <x:v>Tiếng tàu ngân; mây lướt; cần click; chuông nhẹ</x:v>
      </x:c>
      <x:c r="T2" s="24" t="str">
        <x:v>PASS — G-010/G-011/G-012/G-020/G-034/G-036/G-120; Dream Train door reveal central, Bố indispensable, periodic timing clue visible, child-safe, unresolved Part A.</x:v>
      </x:c>
      <x:c r="U2" s="24" t="str">
        <x:v>PASS — G-002/G-003/G-030/G-031/G-037/G-040/G-050/G-051/G-060/G-070/G-090/G-150/G-160/G-161/G-162/G-163/G-164; 308 words; zero at-sign characters.</x:v>
      </x:c>
      <x:c r="V2" s="24" t="str">
        <x:v>AI text audit only; visual/render audit not yet performed. USER APPROVAL pending.</x:v>
      </x:c>
      <x:c r="W2" s="25" t="str">
        <x:v>AI AUDITED</x:v>
      </x:c>
    </x:row>
    <x:row r="3" ht="340" customHeight="1">
      <x:c r="A3" s="57" t="str">
        <x:v>I005-S1-01B</x:v>
      </x:c>
      <x:c r="B3" s="24" t="str">
        <x:v>I-005</x:v>
      </x:c>
      <x:c r="C3" s="24" t="str">
        <x:v>Season 1</x:v>
      </x:c>
      <x:c r="D3" s="24" t="str">
        <x:v>1</x:v>
      </x:c>
      <x:c r="E3" s="24" t="str">
        <x:v>B</x:v>
      </x:c>
      <x:c r="F3" s="24" t="str">
        <x:v>Ga vòng quay mây</x:v>
      </x:c>
      <x:c r="G3"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Dream Train doorway angle, keeping the doorway star, docking lever and approaching cloud platform visible. No cuts.
Setting and opening state: Cloud Carousel Station remains outside. The cloud platform approaches the doorway star. Bố holds the padded side rail and docking lever. Meo stands safely inside beside the three station markers.
0–2s: Meo watches the moving platform cross the near marker and points to the doorway star, signaling Bố to wait until both positions match.
2–7s: the platform reaches the doorway star. Meo signals now. Bố pulls the docking lever; the soft bridge tongue extends exactly as the platform arrives, resting on its padded docking edge. The platform continues and settles against the station stop. Meo checks that the doorway star and platform star are aligned.
7–9s: Bố locks the docking lever into a soft catch and keeps one hand on the rail while the cloud bridge glows steadily.
9–10s: the train door frames the bright cloud world. Meo says in Vietnamese, with a warm five-year-old voice and clear, delighted delivery: “Bố ơi, ga mây tới rồi!” Keep the exact wording; do not translate it.
Physics: steady periodic motion lets Meo predict when the platform will reach the same phase; timed bridge extension creates a clean docking overlap.
Audio: soft train hum, cloud whoosh, docking thump, catch click, magical chime, short dialogue.
Constraints: exact A-to-B continuity; preserve identity, age and clothing; both remain inside the train during docking; soft low platform and padded bridge only; no jumping, falling, exposed edges, dangerous gaps, extra characters, cuts or text.</x:v>
      </x:c>
      <x:c r="H3" s="24" t="str">
        <x:v>Chuyển động tuần hoàn + suy luận thời điểm theo pha</x:v>
      </x:c>
      <x:c r="I3" s="24" t="str">
        <x:v>Vui khi cùng canh đúng lần đến thế giới mơ đầu tiên</x:v>
      </x:c>
      <x:c r="J3" s="24" t="str">
        <x:v>Cùng cửa Dream Train và Cloud Carousel Station</x:v>
      </x:c>
      <x:c r="K3" s="24" t="str">
        <x:v>Bệ mây đang tới dấu cửa; cầu thu; Bố ở ray và cần docking; Meo cạnh dấu</x:v>
      </x:c>
      <x:c r="L3" s="24" t="str">
        <x:v>Meo dự đoán đúng pha tới, Bố vươn và khóa cầu docking đúng khoảnh khắc</x:v>
      </x:c>
      <x:c r="M3" s="24" t="str">
        <x:v>Theo dõi dấu gần và dấu cửa, ra hiệu đúng lúc docking và kiểm tra căn thẳng</x:v>
      </x:c>
      <x:c r="N3" s="24" t="str">
        <x:v>Vận hành và khóa cần docking trong khi giữ ray phía tàu</x:v>
      </x:c>
      <x:c r="O3" s="24" t="str">
        <x:v>Bệ mây dock an toàn; cửa mở đóng khung thế giới mây; kết thúc ấm</x:v>
      </x:c>
      <x:c r="P3" s="24" t="str">
        <x:v>Cùng góc medium-wide để giữ continuity; không cắt cảnh</x:v>
      </x:c>
      <x:c r="Q3" s="24" t="str">
        <x:v>Chuyển động tuần hoàn dự đoán được cho phép cầu vươn trùng pha bệ tại cửa</x:v>
      </x:c>
      <x:c r="R3" s="24" t="str">
        <x:v>Meo: “Bố ơi, ga mây tới rồi!”</x:v>
      </x:c>
      <x:c r="S3" s="24" t="str">
        <x:v>Tàu ngân; mây lướt; tiếng docking; chốt click; chuông phép thuật; thoại ngắn</x:v>
      </x:c>
      <x:c r="T3" s="24" t="str">
        <x:v>PASS — G-010/G-011/G-012/G-020/G-034/G-036/G-120; exact A→B handoff, Bố indispensable, timing clue resolves docking safely.</x:v>
      </x:c>
      <x:c r="U3" s="24" t="str">
        <x:v>PASS — G-002/G-003/G-030/G-031/G-037/G-040/G-050/G-051/G-060/G-070/G-080/G-081/G-090/G-150/G-160/G-161/G-162/G-163/G-164; 314 words; zero at-sign characters.</x:v>
      </x:c>
      <x:c r="V3" s="24" t="str">
        <x:v>AI text audit only; visual/render audit not yet performed. USER APPROVAL pending.</x:v>
      </x:c>
      <x:c r="W3" s="25" t="str">
        <x:v>AI AUDITED</x:v>
      </x:c>
    </x:row>
    <x:row r="4" ht="340" customHeight="1">
      <x:c r="A4" s="57" t="str">
        <x:v>I005-S1-02A</x:v>
      </x:c>
      <x:c r="B4" s="24" t="str">
        <x:v>I-005</x:v>
      </x:c>
      <x:c r="C4" s="24" t="str">
        <x:v>Season 1</x:v>
      </x:c>
      <x:c r="D4" s="24" t="str">
        <x:v>2</x:v>
      </x:c>
      <x:c r="E4" s="24" t="str">
        <x:v>A</x:v>
      </x:c>
      <x:c r="F4" s="24" t="str">
        <x:v>Ga sông đèn lồng</x:v>
      </x:c>
      <x:c r="G4"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side shot from the Dream Train doorway toward River Lantern Station. No cuts.
Setting: the train door opens onto a turquoise dream river. A small enclosed floating dock with glowing lantern rails is tethered to the station. A padded rudder handle sits beside Bố; Meo remains on the train-side platform.
0–2s: Bố opens the train door and holds the rail as the floating dock drifts slightly downstream, leaving its padded nose offset from the doorway.
2–7s: Bố turns the broad rudder handle left while the gentle current pushes the dock forward. The nose angles farther away. He centers the rudder, then turns it right; the dock begins curving back toward the doorway line. Meo compares the fixed doorway star with the glowing star on the dock nose and notices that the rudder changes the direction of the dock’s travel through the current.
7–9s: Meo points right, then traces a curved route from the dock star toward the doorway star. Bố keeps the rudder at that angle and holds before the dock finishes the turn.
9–10s: the dock is closer but still slightly offset from the train door. End unresolved.
Physics: the river current provides forward motion while the angled rudder redirects water flow, producing a turning force that changes the dock’s heading.
Audio: gentle water flow, lantern tinkles, soft rudder creak, train ambience. No dialogue.
Constraints: preserve identity, age and clothing; slow tethered dock only; high padded rails; Meo stays on stable train platform; no swimming, falling, deep-water entry, dangerous gaps, extra characters, cuts or text.</x:v>
      </x:c>
      <x:c r="H4" s="24" t="str">
        <x:v>Vector dòng nước + suy luận lái bằng bánh lái</x:v>
      </x:c>
      <x:c r="I4" s="24" t="str">
        <x:v>Tò mò chuyển thành dự đoán hướng</x:v>
      </x:c>
      <x:c r="J4" s="24" t="str">
        <x:v>Cửa Dream Train hướng ra ga sông xanh ngọc với bến đèn lồng</x:v>
      </x:c>
      <x:c r="K4" s="24" t="str">
        <x:v>Bến nổi có dây neo lệch xuống dòng; Bố ở tay bánh lái; Meo cạnh dấu sao căn chỉnh</x:v>
      </x:c>
      <x:c r="L4" s="24" t="str">
        <x:v>Dòng nước kéo bến đi, còn góc bánh lái đổi hướng nó về gần hoặc xa cửa tàu</x:v>
      </x:c>
      <x:c r="M4" s="24" t="str">
        <x:v>So sánh hai chiều bánh lái, quan sát đường cong của bến và xác định hướng lái về đúng tâm</x:v>
      </x:c>
      <x:c r="N4" s="24" t="str">
        <x:v>Mở cửa, giữ ray, xoay bánh lái đệm qua các góc có kiểm soát và giữ đúng hướng</x:v>
      </x:c>
      <x:c r="O4" s="24" t="str">
        <x:v>Bến đã gần hơn nhưng vẫn hơi lệch cửa tàu; chưa giải quyết</x:v>
      </x:c>
      <x:c r="P4" s="24" t="str">
        <x:v>Medium-wide ngang từ cửa tàu; không cắt cảnh</x:v>
      </x:c>
      <x:c r="Q4" s="24" t="str">
        <x:v>Dòng nước tạo chuyển động tiến; bánh lái nghiêng đổi hướng dòng và tạo lực quay</x:v>
      </x:c>
      <x:c r="R4" s="24" t="str">
        <x:v>Không thoại</x:v>
      </x:c>
      <x:c r="S4" s="24" t="str">
        <x:v>Nước chảy; đèn lồng leng keng; bánh lái kẽo kẹt; ambience tàu</x:v>
      </x:c>
      <x:c r="T4" s="24" t="str">
        <x:v>PASS — G-010/G-011/G-012/G-020/G-034/G-036/G-120; Dream Train reveal central, Bố indispensable, current/rudder clue visible, child-safe, unresolved Part A.</x:v>
      </x:c>
      <x:c r="U4" s="24" t="str">
        <x:v>PASS — G-002/G-003/G-030/G-031/G-037/G-040/G-050/G-051/G-060/G-070/G-090/G-150/G-160/G-161/G-162/G-163/G-164; 316 words; zero at-sign characters.</x:v>
      </x:c>
      <x:c r="V4" s="24" t="str">
        <x:v>AI text audit only; visual/render audit not yet performed. USER APPROVAL pending.</x:v>
      </x:c>
      <x:c r="W4" s="25" t="str">
        <x:v>AI AUDITED</x:v>
      </x:c>
    </x:row>
    <x:row r="5" ht="340" customHeight="1">
      <x:c r="A5" s="57" t="str">
        <x:v>I005-S1-02B</x:v>
      </x:c>
      <x:c r="B5" s="24" t="str">
        <x:v>I-005</x:v>
      </x:c>
      <x:c r="C5" s="24" t="str">
        <x:v>Season 1</x:v>
      </x:c>
      <x:c r="D5" s="24" t="str">
        <x:v>2</x:v>
      </x:c>
      <x:c r="E5" s="24" t="str">
        <x:v>B</x:v>
      </x:c>
      <x:c r="F5" s="24" t="str">
        <x:v>Ga sông đèn lồng</x:v>
      </x:c>
      <x:c r="G5"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Dream Train doorway toward River Lantern Station. No cuts.
Setting and opening state: the tethered lantern dock is close to the train but still slightly offset. Its nose star is curving toward the doorway star. Bố holds the broad padded rudder handle. Meo stands safely on the train-side platform beside the alignment marks.
0–2s: Meo points along the final curved path and signals Bố to keep the same rudder angle.
2–7s: Bố holds the rudder steady while the current carries the dock forward. The nose turns until its glowing star aligns with the train-door star. Meo signals center. Bố returns the rudder to its neutral mark; the turning stops and the tethered dock glides straight into the padded station bumper.
7–9s: Bố secures the rudder in a soft center notch and engages the low docking catch. The lantern rails brighten while Meo checks the two aligned stars.
9–10s: the open train door reveals the calm turquoise river and glowing dock. Meo says in Vietnamese, with a warm five-year-old voice and clear, delighted delivery: “Bố ơi, thuyền ga thẳng rồi!” Keep the exact wording; do not translate it.
Physics: an angled rudder redirects water flow and turns the moving dock; centering the rudder removes the turning force so the current carries it straight into alignment.
Audio: gentle water flow, lantern tinkles, soft bumper tap, catch click, magical chime, short dialogue.
Constraints: exact A-to-B continuity; preserve identity, age and clothing; tethered dock, padded rails and enclosed station channel; Meo stays on stable platform; no swimming, falling, deep-water entry, dangerous gaps, extra characters, cuts or text.</x:v>
      </x:c>
      <x:c r="H5" s="24" t="str">
        <x:v>Vector dòng nước + suy luận lái bằng bánh lái</x:v>
      </x:c>
      <x:c r="I5" s="24" t="str">
        <x:v>Tự hào khi lái bến mơ nhẹ nhàng vào đúng vị trí</x:v>
      </x:c>
      <x:c r="J5" s="24" t="str">
        <x:v>Cùng cửa Dream Train và River Lantern Station</x:v>
      </x:c>
      <x:c r="K5" s="24" t="str">
        <x:v>Bến neo đã gần nhưng còn lệch nhẹ; Bố ở bánh lái; Meo cạnh dấu sao</x:v>
      </x:c>
      <x:c r="L5" s="24" t="str">
        <x:v>Meo hướng dẫn góc cuối, Bố lái, căn tâm và dock bệ nổi</x:v>
      </x:c>
      <x:c r="M5" s="24" t="str">
        <x:v>Lần theo đường cong cuối, ra hiệu tâm và kiểm tra sao trùng sao</x:v>
      </x:c>
      <x:c r="N5" s="24" t="str">
        <x:v>Giữ rồi đưa bánh lái về giữa và gài chốt docking</x:v>
      </x:c>
      <x:c r="O5" s="24" t="str">
        <x:v>Bến căn đúng và cố định; lan can đèn sáng lên; kết thúc tích cực</x:v>
      </x:c>
      <x:c r="P5" s="24" t="str">
        <x:v>Cùng góc medium-wide để giữ continuity; không cắt cảnh</x:v>
      </x:c>
      <x:c r="Q5" s="24" t="str">
        <x:v>Góc bánh lái làm bến quay trong dòng; bánh lái trung tính dừng quay để dock thẳng</x:v>
      </x:c>
      <x:c r="R5" s="24" t="str">
        <x:v>Meo: “Bố ơi, thuyền ga thẳng rồi!”</x:v>
      </x:c>
      <x:c r="S5" s="24" t="str">
        <x:v>Nước chảy; đèn leng keng; đệm chạm; chốt click; chuông phép thuật; thoại ngắn</x:v>
      </x:c>
      <x:c r="T5" s="24" t="str">
        <x:v>PASS — G-010/G-011/G-012/G-020/G-034/G-036/G-120; exact A→B handoff, Bố indispensable, rudder clue resolves docking safely.</x:v>
      </x:c>
      <x:c r="U5" s="24" t="str">
        <x:v>PASS — G-002/G-003/G-030/G-031/G-037/G-040/G-050/G-051/G-060/G-070/G-080/G-081/G-090/G-150/G-160/G-161/G-162/G-163/G-164; 320 words; zero at-sign characters.</x:v>
      </x:c>
      <x:c r="V5" s="24" t="str">
        <x:v>AI text audit only; visual/render audit not yet performed. USER APPROVAL pending.</x:v>
      </x:c>
      <x:c r="W5" s="25" t="str">
        <x:v>AI AUDITED</x:v>
      </x:c>
    </x:row>
    <x:row r="6" ht="340" customHeight="1">
      <x:c r="A6" s="57" t="str">
        <x:v>I005-S1-03A</x:v>
      </x:c>
      <x:c r="B6" s="24" t="str">
        <x:v>I-005</x:v>
      </x:c>
      <x:c r="C6" s="24" t="str">
        <x:v>Season 1</x:v>
      </x:c>
      <x:c r="D6" s="24" t="str">
        <x:v>3</x:v>
      </x:c>
      <x:c r="E6" s="24" t="str">
        <x:v>A</x:v>
      </x:c>
      <x:c r="F6" s="24" t="str">
        <x:v>Ga vườn thạch</x:v>
      </x:c>
      <x:c r="G6"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three-quarter shot from the Dream Train doorway toward Jelly Garden Station. No cuts.
Setting: the train door opens onto a garden of translucent jelly flowers. A low path is blocked by one soft circular jelly panel in a padded frame. The panel can flex inward or outward but remains attached.
0–2s: Bố opens the train door and places both hands on a broad padded press bar connected to the jelly panel. Meo watches the panel bulge outward across the path.
2–7s: Bố presses lightly near one edge. The panel dents but springs back to the same outward curve. He presses closer to the center with slightly more even force; the whole membrane flattens and almost snaps inward, but springs back outward because the marked threshold was not crossed. Meo compares the edge dent with the centered full-panel movement and notices a glowing center ring that brightens just before the shape changes.
7–9s: Meo points to the center ring and signals Bố to press straight through the middle until the panel crosses the marked line.
9–10s: Bố centers the press bar and holds just before the marked snap line; the path is still blocked. End unresolved.
Physics: the flexible panel has two stable curved shapes; small edge force deforms locally, while centered force past a threshold triggers snap-through into the opposite stable shape.
Audio: train hum, soft jelly wobble, gentle flex sound, garden chimes. No dialogue.
Constraints: preserve identity, age and clothing; soft attached membrane only; low padded frame; no trapping, climbing, sharp edges, falls, extra characters, dangerous motion, cuts or text.</x:v>
      </x:c>
      <x:c r="H6" s="24" t="str">
        <x:v>Màng hai trạng thái ổn định + ngưỡng bật qua</x:v>
      </x:c>
      <x:c r="I6" s="24" t="str">
        <x:v>Tò mò chuyển thành thử ngưỡng tự tin</x:v>
      </x:c>
      <x:c r="J6" s="24" t="str">
        <x:v>Cửa Dream Train hướng ra vườn hoa thạch trong suốt</x:v>
      </x:c>
      <x:c r="K6" s="24" t="str">
        <x:v>Tấm jelly mềm phồng ra chắn lối; Bố ở thanh ấn; Meo cạnh vòng tâm</x:v>
      </x:c>
      <x:c r="L6" s="24" t="str">
        <x:v>Lực đúng tâm vượt ngưỡng nhìn thấy sẽ bật màng jelly sang hình dạng ổn định thứ hai</x:v>
      </x:c>
      <x:c r="M6" s="24" t="str">
        <x:v>So sánh vết lõm ở mép với chuyển động ở tâm và xác định ngưỡng tâm phát sáng</x:v>
      </x:c>
      <x:c r="N6" s="24" t="str">
        <x:v>Mở cửa tàu, thử thanh ấn đệm ở các vị trí và căn nó vào đường snap</x:v>
      </x:c>
      <x:c r="O6" s="24" t="str">
        <x:v>Tấm vẫn phồng ra; thanh ấn ở tâm ngay trước ngưỡng snap; chưa giải quyết</x:v>
      </x:c>
      <x:c r="P6" s="24" t="str">
        <x:v>Medium-wide three-quarter từ cửa tàu; không cắt cảnh</x:v>
      </x:c>
      <x:c r="Q6" s="24" t="str">
        <x:v>Màng hai trạng thái chỉ biến dạng cục bộ với lực nhỏ ở mép, nhưng bật cả tấm khi lực tâm vượt ngưỡng</x:v>
      </x:c>
      <x:c r="R6" s="24" t="str">
        <x:v>Không thoại</x:v>
      </x:c>
      <x:c r="S6" s="24" t="str">
        <x:v>Tàu ngân; jelly rung; tiếng pop nhẹ; chuông vườn</x:v>
      </x:c>
      <x:c r="T6" s="24" t="str">
        <x:v>PASS — G-010/G-011/G-012/G-020/G-034/G-036/G-120; Dream Train reveal central, Bố indispensable, snap-through clue visible, child-safe, unresolved Part A.</x:v>
      </x:c>
      <x:c r="U6" s="24" t="str">
        <x:v>PASS — G-002/G-003/G-030/G-031/G-037/G-040/G-050/G-051/G-060/G-070/G-090/G-150/G-160/G-161/G-162/G-163/G-164; 319 words; zero at-sign characters.</x:v>
      </x:c>
      <x:c r="V6" s="24" t="str">
        <x:v>AI text audit only; visual/render audit not yet performed. USER APPROVAL pending.</x:v>
      </x:c>
      <x:c r="W6" s="25" t="str">
        <x:v>AI AUDITED</x:v>
      </x:c>
    </x:row>
    <x:row r="7" ht="340" customHeight="1">
      <x:c r="A7" s="57" t="str">
        <x:v>I005-S1-03B</x:v>
      </x:c>
      <x:c r="B7" s="24" t="str">
        <x:v>I-005</x:v>
      </x:c>
      <x:c r="C7" s="24" t="str">
        <x:v>Season 1</x:v>
      </x:c>
      <x:c r="D7" s="24" t="str">
        <x:v>3</x:v>
      </x:c>
      <x:c r="E7" s="24" t="str">
        <x:v>B</x:v>
      </x:c>
      <x:c r="F7" s="24" t="str">
        <x:v>Ga vườn thạch</x:v>
      </x:c>
      <x:c r="G7"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Dream Train doorway toward Jelly Garden Station, keeping the panel center ring and press bar visible. No cuts.
Setting and opening state: the soft jelly panel still bulges outward across the low path. Bố holds the padded press bar centered on the glowing ring, just before the marked snap line. Meo stands safely beside the frame.
0–2s: Meo points to the center ring and then to the snap mark, signaling Bố to continue straight through the middle.
2–7s: Bố presses the bar slowly and evenly. The attached membrane flattens, reaches the marked threshold, then flips inward as one smooth piece with a pop. Meo watches the panel change from outward-curved to inward-curved and signals stop. The opening beside the train door becomes clear without any loose pieces.
7–9s: Bố seats the press bar in a soft holding catch so the panel stays in its inward stable shape. Meo checks the open path and the now-dark center ring.
9–10s: the jelly flowers around the station glow softly. Meo says in Vietnamese, with a warm five-year-old voice and clear, delighted delivery: “Bố ơi, cổng thạch mở rồi!” Keep the exact wording; do not translate it.
Physics: crossing the centered force threshold makes the bistable membrane snap into its second stable curvature; the catch holds the open state.
Audio: train hum, soft jelly wobble, gentle pop, catch click, magical chime, short dialogue.
Constraints: exact A-to-B continuity; preserve identity, age and clothing; soft attached membrane only; low padded frame; both remain beside the train doorway; no trapping, climbing, sharp edges, falls, extra characters, dangerous motion, cuts or text.</x:v>
      </x:c>
      <x:c r="H7" s="24" t="str">
        <x:v>Màng hai trạng thái ổn định + ngưỡng bật qua</x:v>
      </x:c>
      <x:c r="I7" s="24" t="str">
        <x:v>Vui khi mở lối mơ bằng lực cẩn thận</x:v>
      </x:c>
      <x:c r="J7" s="24" t="str">
        <x:v>Cùng cửa Dream Train và Jelly Garden Station</x:v>
      </x:c>
      <x:c r="K7" s="24" t="str">
        <x:v>Tấm jelly phồng ra; thanh ấn đúng tâm trước ngưỡng; Bố ở thanh; Meo cạnh vòng</x:v>
      </x:c>
      <x:c r="L7" s="24" t="str">
        <x:v>Meo hướng dẫn lần ấn tâm cuối, Bố vượt ngưỡng và khóa tấm vào phía trong an toàn</x:v>
      </x:c>
      <x:c r="M7" s="24" t="str">
        <x:v>Ra hiệu tiếp tục tại vòng tâm và kiểm tra toàn bộ tấm đổi độ cong</x:v>
      </x:c>
      <x:c r="N7" s="24" t="str">
        <x:v>Ấn thanh đúng tâm qua ngưỡng và đặt vào chốt giữ</x:v>
      </x:c>
      <x:c r="O7" s="24" t="str">
        <x:v>Tấm ổn định vào trong; lối mở; hoa jelly phát sáng; kết thúc tích cực</x:v>
      </x:c>
      <x:c r="P7" s="24" t="str">
        <x:v>Cùng góc medium-wide để giữ continuity; không cắt cảnh</x:v>
      </x:c>
      <x:c r="Q7" s="24" t="str">
        <x:v>Vượt ngưỡng lực đúng tâm kích hoạt snap-through sang độ cong ổn định thứ hai</x:v>
      </x:c>
      <x:c r="R7" s="24" t="str">
        <x:v>Meo: “Bố ơi, cổng thạch mở rồi!”</x:v>
      </x:c>
      <x:c r="S7" s="24" t="str">
        <x:v>Tàu ngân; jelly rung; pop; chốt click; chuông phép thuật; thoại ngắn</x:v>
      </x:c>
      <x:c r="T7" s="24" t="str">
        <x:v>PASS — G-010/G-011/G-012/G-020/G-034/G-036/G-120; exact A→B handoff, Bố indispensable, snap-through clue resolves path safely.</x:v>
      </x:c>
      <x:c r="U7" s="24" t="str">
        <x:v>PASS — G-002/G-003/G-030/G-031/G-037/G-040/G-050/G-051/G-060/G-070/G-080/G-081/G-090/G-150/G-160/G-161/G-162/G-163/G-164; 320 words; zero at-sign characters.</x:v>
      </x:c>
      <x:c r="V7" s="24" t="str">
        <x:v>AI text audit only; visual/render audit not yet performed. USER APPROVAL pending.</x:v>
      </x:c>
      <x:c r="W7" s="25" t="str">
        <x:v>AI AUDITED</x:v>
      </x:c>
    </x:row>
    <x:row r="8" ht="340" customHeight="1">
      <x:c r="A8" s="57" t="str">
        <x:v>I005-S1-04A</x:v>
      </x:c>
      <x:c r="B8" s="24" t="str">
        <x:v>I-005</x:v>
      </x:c>
      <x:c r="C8" s="24" t="str">
        <x:v>Season 1</x:v>
      </x:c>
      <x:c r="D8" s="24" t="str">
        <x:v>4</x:v>
      </x:c>
      <x:c r="E8" s="24" t="str">
        <x:v>A</x:v>
      </x:c>
      <x:c r="F8" s="24" t="str">
        <x:v>Ga cát sao</x:v>
      </x:c>
      <x:c r="G8"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side shot from the Dream Train doorway toward Star-Sand Station. No cuts.
Setting: the train door reveals a golden dream desert. A shallow enclosed sand tray forms the station entrance. Glowing star-sand piles against a low gate, hiding a blue route mark. Bố holds a broad padded tilt handle attached to the tray; Meo watches through a clear side wall.
0–2s: Bố opens the train door and gently raises one side of the tray. The sand slope steepens and a stream slides down, covering more of the route mark.
2–7s: Bố lowers the tray slightly. The sliding slows. He lowers it farther until the grains stop and settle. Meo compares the steep moving pile with the shallower stable pile and notices a row of angle marks on the side wall. Above the red mark grains avalanche; below it the surface stays still.
7–9s: Meo points just below the red angle mark and traces the settled sand line away from the hidden blue route. Bố adjusts toward that angle and holds before the sand fully clears.
9–10s: the blue route mark is partly visible but still covered at one end. End unresolved.
Physics: dry grains slide when the surface becomes steeper than their stable angle of repose; reducing the tray angle lets friction between grains hold the slope.
Audio: soft train hum, sand hiss, handle creak, distant dream wind. No dialogue.
Constraints: preserve identity, age and clothing; sand remains inside sealed shallow tray behind clear wall; no loose dust, digging, mouth contact, climbing, falls, extra characters, dangerous motion, cuts or text.</x:v>
      </x:c>
      <x:c r="H8" s="24" t="str">
        <x:v>Độ dốc hạt + góc nghỉ tự nhiên</x:v>
      </x:c>
      <x:c r="I8" s="24" t="str">
        <x:v>Ngạc nhiên chuyển thành quan sát độ ổn định cẩn thận</x:v>
      </x:c>
      <x:c r="J8" s="24" t="str">
        <x:v>Cửa Dream Train hướng ra sa mạc cát sao vàng</x:v>
      </x:c>
      <x:c r="K8" s="24" t="str">
        <x:v>Khay cát kín che tuyến xanh; Bố ở tay nghiêng; Meo cạnh các dấu góc rõ</x:v>
      </x:c>
      <x:c r="L8" s="24" t="str">
        <x:v>Dốc cát lớn gây sạt, còn dốc thấp hơn ổn định và lộ tuyến phía dưới</x:v>
      </x:c>
      <x:c r="M8" s="24" t="str">
        <x:v>So sánh dốc đang trượt và dốc ổn định, xác định góc ngưỡng và dự đoán hướng làm sạch</x:v>
      </x:c>
      <x:c r="N8" s="24" t="str">
        <x:v>Mở cửa, chỉnh độ nghiêng khay qua các góc có kiểm soát và giữ dưới ngưỡng sạt</x:v>
      </x:c>
      <x:c r="O8" s="24" t="str">
        <x:v>Tuyến xanh lộ một phần; khay gần góc ổn định; chưa giải quyết</x:v>
      </x:c>
      <x:c r="P8" s="24" t="str">
        <x:v>Medium-wide ngang từ cửa tàu; không cắt cảnh</x:v>
      </x:c>
      <x:c r="Q8" s="24" t="str">
        <x:v>Hạt khô trượt khi vượt góc nghỉ; dốc thấp hơn cho ma sát hạt cân bằng trọng lực</x:v>
      </x:c>
      <x:c r="R8" s="24" t="str">
        <x:v>Không thoại</x:v>
      </x:c>
      <x:c r="S8" s="24" t="str">
        <x:v>Tàu ngân; cát xì nhẹ; tay nắm kẽo kẹt; gió mơ</x:v>
      </x:c>
      <x:c r="T8" s="24" t="str">
        <x:v>PASS — G-010/G-011/G-012/G-020/G-034/G-036/G-120; Dream Train reveal central, Bố indispensable, granular threshold visible, child-safe, unresolved Part A.</x:v>
      </x:c>
      <x:c r="U8" s="24" t="str">
        <x:v>PASS — G-002/G-003/G-030/G-031/G-037/G-040/G-050/G-051/G-060/G-070/G-090/G-150/G-160/G-161/G-162/G-163/G-164; 320 words; zero at-sign characters.</x:v>
      </x:c>
      <x:c r="V8" s="24" t="str">
        <x:v>AI text audit only; visual/render audit not yet performed. USER APPROVAL pending.</x:v>
      </x:c>
      <x:c r="W8" s="25" t="str">
        <x:v>AI AUDITED</x:v>
      </x:c>
    </x:row>
    <x:row r="9" ht="340" customHeight="1">
      <x:c r="A9" s="57" t="str">
        <x:v>I005-S1-04B</x:v>
      </x:c>
      <x:c r="B9" s="24" t="str">
        <x:v>I-005</x:v>
      </x:c>
      <x:c r="C9" s="24" t="str">
        <x:v>Season 1</x:v>
      </x:c>
      <x:c r="D9" s="24" t="str">
        <x:v>4</x:v>
      </x:c>
      <x:c r="E9" s="24" t="str">
        <x:v>B</x:v>
      </x:c>
      <x:c r="F9" s="24" t="str">
        <x:v>Ga cát sao</x:v>
      </x:c>
      <x:c r="G9"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Dream Train doorway toward Star-Sand Station, keeping the side angle marks and blue route visible. No cuts.
Setting and opening state: the enclosed star-sand tray is held near the stable angle. The blue route mark is partly visible, one end still covered. Bố holds the padded tilt handle. Meo stands beside the clear side wall.
0–2s: Meo points to the mark just below the red line and signals Bố to lower the tray a little more.
2–7s: Bố reduces the tilt slowly. A final ribbon of grains slides away from the blue route, then the surface settles into a stable shallow slope. Meo watches the moving grains stop exactly after the route line is uncovered and signals hold. Bố keeps the tray at the same angle so no new avalanche starts.
7–9s: Bố locks the tilt handle into a soft notch. The blue route glows beneath the clear wall while the sand stays still.
9–10s: the Dream Train door frames the revealed golden station path. Meo says in Vietnamese, with a warm five-year-old voice and clear, delighted delivery: “Bố ơi, đường sao hiện rồi!” Keep the exact wording; do not translate it.
Physics: lowering the surface below the sand’s angle of repose allows grain friction to balance gravity, stopping the slide and preserving the cleared route.
Audio: soft train hum, fading sand hiss, notch click, magical chime, short dialogue.
Constraints: exact A-to-B continuity; preserve identity, age and clothing; sand remains sealed inside the shallow tray behind a clear wall; no loose dust, digging, mouth contact, climbing, falls, extra characters, dangerous motion, cuts or text.</x:v>
      </x:c>
      <x:c r="H9" s="24" t="str">
        <x:v>Độ dốc hạt + góc nghỉ tự nhiên</x:v>
      </x:c>
      <x:c r="I9" s="24" t="str">
        <x:v>Tự hào khi làm lộ đường ẩn bằng thay đổi độ ổn định</x:v>
      </x:c>
      <x:c r="J9" s="24" t="str">
        <x:v>Cùng cửa Dream Train và Star-Sand Station</x:v>
      </x:c>
      <x:c r="K9" s="24" t="str">
        <x:v>Tuyến xanh lộ một phần; khay gần góc ổn định; Bố ở tay nghiêng; Meo cạnh vạch đỏ</x:v>
      </x:c>
      <x:c r="L9" s="24" t="str">
        <x:v>Meo hướng dẫn hạ góc cuối, Bố làm các hạt còn lại ổn định và khóa đường nhìn thấy</x:v>
      </x:c>
      <x:c r="M9" s="24" t="str">
        <x:v>Ra hiệu góc dưới ngưỡng, quan sát lần trượt cuối dừng và kiểm tra tuyến lộ đủ</x:v>
      </x:c>
      <x:c r="N9" s="24" t="str">
        <x:v>Hạ và khóa tay nghiêng đệm</x:v>
      </x:c>
      <x:c r="O9" s="24" t="str">
        <x:v>Tuyến xanh lộ hoàn toàn dưới cát đã ổn định; kết thúc ấm</x:v>
      </x:c>
      <x:c r="P9" s="24" t="str">
        <x:v>Cùng góc medium-wide để giữ continuity; không cắt cảnh</x:v>
      </x:c>
      <x:c r="Q9" s="24" t="str">
        <x:v>Dưới góc nghỉ, ma sát giữa các hạt cân bằng trọng lực và dốc ngừng trượt</x:v>
      </x:c>
      <x:c r="R9" s="24" t="str">
        <x:v>Meo: “Bố ơi, đường sao hiện rồi!”</x:v>
      </x:c>
      <x:c r="S9" s="24" t="str">
        <x:v>Tàu ngân; tiếng cát nhỏ dần; chốt rãnh; chuông phép thuật; thoại ngắn</x:v>
      </x:c>
      <x:c r="T9" s="24" t="str">
        <x:v>PASS — G-010/G-011/G-012/G-020/G-034/G-036/G-120; exact A→B handoff, Bố indispensable, granular clue resolves route safely.</x:v>
      </x:c>
      <x:c r="U9" s="24" t="str">
        <x:v>PASS — G-002/G-003/G-030/G-031/G-037/G-040/G-050/G-051/G-060/G-070/G-080/G-081/G-090/G-150/G-160/G-161/G-162/G-163/G-164; 320 words; zero at-sign characters.</x:v>
      </x:c>
      <x:c r="V9" s="24" t="str">
        <x:v>AI text audit only; visual/render audit not yet performed. USER APPROVAL pending.</x:v>
      </x:c>
      <x:c r="W9" s="25" t="str">
        <x:v>AI AUDITED</x:v>
      </x:c>
    </x:row>
    <x:row r="10" ht="340" customHeight="1">
      <x:c r="A10" s="57" t="str">
        <x:v>I005-S1-05A</x:v>
      </x:c>
      <x:c r="B10" s="24" t="str">
        <x:v>I-005</x:v>
      </x:c>
      <x:c r="C10" s="24" t="str">
        <x:v>Season 1</x:v>
      </x:c>
      <x:c r="D10" s="24" t="str">
        <x:v>5</x:v>
      </x:c>
      <x:c r="E10" s="24" t="str">
        <x:v>A</x:v>
      </x:c>
      <x:c r="F10" s="24" t="str">
        <x:v>Ga thị trấn domino</x:v>
      </x:c>
      <x:c r="G10"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three-quarter shot from the Dream Train doorway toward Domino Town Station. No cuts.
Setting: the train door reveals a dream town built from soft domino blocks along a low enclosed track. The final block controls a padded station gate, but one gap stops the chain.
0–2s: Bố opens the train door and gently taps the first oversized foam domino using a padded starter lever. Several blocks fall in sequence, then the motion stops at a visible empty gap.
2–7s: Bố resets the test section with a return handle. Meo compares the spacing before and after the gap and notices a movable foam block beside two guide marks. Bố slides that block too far left and leaves it there without another chain test. Meo compares the visible gap with the midpoint marks and sees that the block is still short of the correct position.
7–9s: Meo points to the midpoint marks showing where the missing block should stand so one falling block can touch the next. Bố slides it toward the marks and holds before testing.
9–10s: the gap is almost closed, but the final chain has not run yet. End unresolved.
Physics: each falling block transfers momentum by contacting the next; a gap larger than the reach of the falling block interrupts propagation.
Audio: train hum, soft foam taps, lever click, cheerful town ambience. No dialogue.
Constraints: preserve identity, age and clothing; oversized lightweight foam blocks inside low enclosed track; no climbing, hard impacts, falling objects near bodies, sharp edges, extra characters, dangerous motion, cuts or text.</x:v>
      </x:c>
      <x:c r="H10" s="24" t="str">
        <x:v>Continuity phản ứng dây chuyền + suy luận khoảng cách</x:v>
      </x:c>
      <x:c r="I10" s="24" t="str">
        <x:v>Tò mò chuyển thành dự đoán nhân quả theo chuỗi</x:v>
      </x:c>
      <x:c r="J10" s="24" t="str">
        <x:v>Cửa Dream Train hướng ra thị trấn domino mềm</x:v>
      </x:c>
      <x:c r="K10" s="24" t="str">
        <x:v>Chuỗi domino foam có một khoảng trống trước công tắc cổng; Bố ở cần reset và khởi động; Meo cạnh dấu khoảng cách</x:v>
      </x:c>
      <x:c r="L10" s="24" t="str">
        <x:v>Một domino foam lớn đặt sai làm chuỗi ngã dừng trước công tắc cổng ga</x:v>
      </x:c>
      <x:c r="M10" s="24" t="str">
        <x:v>So sánh khoảng cách có thể chạm, xác định dấu giữa và dự đoán vị trí khối thiếu</x:v>
      </x:c>
      <x:c r="N10" s="24" t="str">
        <x:v>Mở cửa, thử cần khởi động, reset đoạn ngắn và trượt khối thiếu</x:v>
      </x:c>
      <x:c r="O10" s="24" t="str">
        <x:v>Khoảng trống gần khép; chưa test chuỗi cuối; chưa giải quyết</x:v>
      </x:c>
      <x:c r="P10" s="24" t="str">
        <x:v>Medium-wide three-quarter từ cửa tàu; không cắt cảnh</x:v>
      </x:c>
      <x:c r="Q10" s="24" t="str">
        <x:v>Mỗi khối ngã truyền động lượng bằng tiếp xúc; khoảng cách quá lớn làm chuỗi bị ngắt</x:v>
      </x:c>
      <x:c r="R10" s="24" t="str">
        <x:v>Không thoại</x:v>
      </x:c>
      <x:c r="S10" s="24" t="str">
        <x:v>Tàu ngân; foam chạm mềm; cần click; ambience thị trấn vui</x:v>
      </x:c>
      <x:c r="T10" s="24" t="str">
        <x:v>PASS — G-010/G-011/G-012/G-020/G-034/G-036/G-120; Dream Train reveal central, Bố indispensable, chain gap visibly causal, child-safe, unresolved Part A.</x:v>
      </x:c>
      <x:c r="U10" s="24" t="str">
        <x:v>PASS — G-002/G-003/G-030/G-031/G-037/G-040/G-050/G-051/G-060/G-070/G-090/G-150/G-160/G-161/G-162/G-163/G-164; 319 words; zero at-sign characters.</x:v>
      </x:c>
      <x:c r="V10" s="24" t="str">
        <x:v>AI text audit only; visual/render audit not yet performed. USER APPROVAL pending.</x:v>
      </x:c>
      <x:c r="W10" s="25" t="str">
        <x:v>AI AUDITED</x:v>
      </x:c>
    </x:row>
    <x:row r="11" ht="340" customHeight="1">
      <x:c r="A11" s="57" t="str">
        <x:v>I005-S1-05B</x:v>
      </x:c>
      <x:c r="B11" s="24" t="str">
        <x:v>I-005</x:v>
      </x:c>
      <x:c r="C11" s="24" t="str">
        <x:v>Season 1</x:v>
      </x:c>
      <x:c r="D11" s="24" t="str">
        <x:v>5</x:v>
      </x:c>
      <x:c r="E11" s="24" t="str">
        <x:v>B</x:v>
      </x:c>
      <x:c r="F11" s="24" t="str">
        <x:v>Ga thị trấn domino</x:v>
      </x:c>
      <x:c r="G11"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Dream Train doorway, keeping the missing block and station gate visible. No cuts.
Setting and opening state: the movable foam domino is almost centered on the guide marks, and the chain has not been tested. Bố holds the low sliding handle and padded starter lever. Meo stands beside the spacing marks.
0–2s: Meo points to the exact midpoint and signals Bố to slide the missing block a little farther.
2–7s: Bố centers and locks the block. At Meo’s signal, he presses the padded starter lever once. The first foam domino tips into the second; each block contacts the next in sequence. The repaired middle block now receives the falling block and tips into the next, allowing the chain to continue toward the station gate.
7–9s: the final domino gently presses a broad padded gate switch. Bố releases the starter lever while the station gate slides open sideways inside its frame.
9–10s: the open gate reveals glowing little streets beyond the train door. Meo says in Vietnamese, with a warm five-year-old voice and clear, delighted delivery: “Bố ơi, cả phố chạy rồi!” Keep the exact wording; do not translate it.
Physics: correct spacing lets each falling block transfer momentum by contact, allowing the chain reaction to propagate continuously to the final switch.
Audio: train hum, soft foam taps in sequence, gate slide, magical chime, short dialogue.
Constraints: exact A-to-B continuity; preserve identity, age and clothing; oversized lightweight foam dominoes in enclosed track; low padded gate; no climbing, hard impacts, falling objects near bodies, sharp edges, extra characters, dangerous motion, cuts or text.</x:v>
      </x:c>
      <x:c r="H11" s="24" t="str">
        <x:v>Continuity phản ứng dây chuyền + suy luận khoảng cách</x:v>
      </x:c>
      <x:c r="I11" s="24" t="str">
        <x:v>Vui khi cùng sửa một chuỗi nhìn thấy rõ</x:v>
      </x:c>
      <x:c r="J11" s="24" t="str">
        <x:v>Cùng cửa Dream Train và Domino Town Station</x:v>
      </x:c>
      <x:c r="K11" s="24" t="str">
        <x:v>Domino foam thiếu gần căn giữa theo dấu; Bố ở cần trượt và khởi động; Meo cạnh dấu</x:v>
      </x:c>
      <x:c r="L11" s="24" t="str">
        <x:v>Meo hướng dẫn khoảng cách cuối, Bố khóa khối và kích hoạt một chuỗi liên tục mở cổng</x:v>
      </x:c>
      <x:c r="M11" s="24" t="str">
        <x:v>Ra hiệu đúng trung điểm, theo dõi chuỗi và kiểm tra tiếp xúc công tắc cuối</x:v>
      </x:c>
      <x:c r="N11" s="24" t="str">
        <x:v>Căn giữa và khóa khối, rồi vận hành cần khởi động đệm</x:v>
      </x:c>
      <x:c r="O11" s="24" t="str">
        <x:v>Chuỗi domino tới công tắc; cổng ga mở; kết thúc ấm</x:v>
      </x:c>
      <x:c r="P11" s="24" t="str">
        <x:v>Cùng góc medium-wide để giữ continuity; không cắt cảnh</x:v>
      </x:c>
      <x:c r="Q11" s="24" t="str">
        <x:v>Khoảng cách đúng khôi phục truyền động lượng tiếp xúc-tới-tiếp-xúc qua chuỗi</x:v>
      </x:c>
      <x:c r="R11" s="24" t="str">
        <x:v>Meo: “Bố ơi, cả phố chạy rồi!”</x:v>
      </x:c>
      <x:c r="S11" s="24" t="str">
        <x:v>Tàu ngân; foam gõ tuần tự; cổng trượt; chuông phép thuật; thoại ngắn</x:v>
      </x:c>
      <x:c r="T11" s="24" t="str">
        <x:v>PASS — G-010/G-011/G-012/G-020/G-034/G-036/G-120; exact A→B handoff, Bố indispensable, repaired spacing completes the chain safely.</x:v>
      </x:c>
      <x:c r="U11" s="24" t="str">
        <x:v>PASS — G-002/G-003/G-030/G-031/G-037/G-040/G-050/G-051/G-060/G-070/G-080/G-081/G-090/G-150/G-160/G-161/G-162/G-163/G-164; 317 words; zero at-sign characters.</x:v>
      </x:c>
      <x:c r="V11" s="24" t="str">
        <x:v>AI text audit only; visual/render audit not yet performed. USER APPROVAL pending.</x:v>
      </x:c>
      <x:c r="W11" s="25" t="str">
        <x:v>AI AUDITED</x:v>
      </x:c>
    </x:row>
    <x:row r="12" ht="340" customHeight="1">
      <x:c r="A12" s="57" t="str">
        <x:v>I005-S1-06A</x:v>
      </x:c>
      <x:c r="B12" s="24" t="str">
        <x:v>I-005</x:v>
      </x:c>
      <x:c r="C12" s="24" t="str">
        <x:v>Season 1</x:v>
      </x:c>
      <x:c r="D12" s="24" t="str">
        <x:v>6</x:v>
      </x:c>
      <x:c r="E12" s="24" t="str">
        <x:v>A</x:v>
      </x:c>
      <x:c r="F12" s="24" t="str">
        <x:v>Ga tuyết lông vũ</x:v>
      </x:c>
      <x:c r="G12"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side shot from the Dream Train doorway toward Feather Snow Station. No cuts.
Setting: the train door opens onto a pale-blue world where soft feather-shaped snowflakes descend inside a tall transparent station column. One glowing feather marker must land on a padded star target at the bottom. Bố controls a folding catcher beneath it; Meo watches timing marks.
0–2s: Bố opens the train door and holds the catcher nearly folded. The glowing feather marker drops quickly past the upper mark and misses the center target.
2–7s: Bố uses a return handle to reset the marker at the top, then opens the catcher wide beneath it. As the feather descends, the broad surface pushes against more air and the marker falls more slowly. He partly folds the catcher; the marker speeds up again. Meo compares the descent speed against three side marks and notices the widest shape produces the longest fall time.
7–9s: Meo points to the fully open symbol and then to the center star, signaling Bố to keep maximum surface area for the final descent.
9–10s: Bố opens the catcher fully; the feather begins a slower descent but has not reached the target. End unresolved.
Physics: an exposed surface experiences greater aerodynamic drag, reducing the downward speed of the lightweight marker through air.
Audio: train hum, soft airy hiss, fabric flutter, snow chimes. No dialogue.
Constraints: preserve identity, age and clothing; feather marker and catcher remain enclosed inside transparent column; lightweight soft parts only; no throwing, jumping, climbing, cold exposure, falls, extra characters, dangerous motion, cuts or text.</x:v>
      </x:c>
      <x:c r="H12" s="24" t="str">
        <x:v>Lực cản khí động + diện tích bề mặt</x:v>
      </x:c>
      <x:c r="I12" s="24" t="str">
        <x:v>Ngạc nhiên chuyển thành so sánh tốc độ cẩn thận</x:v>
      </x:c>
      <x:c r="J12" s="24" t="str">
        <x:v>Cửa Dream Train hướng ra thế giới tuyết-lông vũ xanh nhạt</x:v>
      </x:c>
      <x:c r="K12" s="24" t="str">
        <x:v>Mốc lông vũ phát sáng trong cột trong suốt; Bố ở bộ hứng gấp; Meo cạnh dấu thời gian</x:v>
      </x:c>
      <x:c r="L12" s="24" t="str">
        <x:v>Diện tích bộ hứng lớn hơn tăng lực cản và làm mốc lông vũ rơi chậm về ngôi sao đệm</x:v>
      </x:c>
      <x:c r="M12" s="24" t="str">
        <x:v>So sánh tốc độ rơi khi gấp và mở, xác định cấu hình diện tích lớn nhất</x:v>
      </x:c>
      <x:c r="N12" s="24" t="str">
        <x:v>Mở cửa tàu, reset mốc và đổi diện tích bề mặt bộ hứng</x:v>
      </x:c>
      <x:c r="O12" s="24" t="str">
        <x:v>Lông vũ bắt đầu rơi chậm hơn khi bộ hứng mở hết; chưa giải quyết</x:v>
      </x:c>
      <x:c r="P12" s="24" t="str">
        <x:v>Medium-wide ngang từ cửa tàu; không cắt cảnh</x:v>
      </x:c>
      <x:c r="Q12" s="24" t="str">
        <x:v>Diện tích hứng lớn hơn tăng lực cản khí động lên vật rơi nhẹ</x:v>
      </x:c>
      <x:c r="R12" s="24" t="str">
        <x:v>Không thoại</x:v>
      </x:c>
      <x:c r="S12" s="24" t="str">
        <x:v>Tàu ngân; khí xì nhẹ; vải phấp phới; chuông tuyết</x:v>
      </x:c>
      <x:c r="T12" s="24" t="str">
        <x:v>PASS — G-010/G-011/G-012/G-020/G-034/G-036/G-120; Dream Train reveal central, Bố indispensable, drag clue visibly causal, child-safe, unresolved Part A.</x:v>
      </x:c>
      <x:c r="U12" s="24" t="str">
        <x:v>PASS — G-002/G-003/G-030/G-031/G-037/G-040/G-050/G-051/G-060/G-070/G-090/G-150/G-160/G-161/G-162/G-163/G-164; 320 words; zero at-sign characters.</x:v>
      </x:c>
      <x:c r="V12" s="24" t="str">
        <x:v>AI text audit only; visual/render audit not yet performed. USER APPROVAL pending.</x:v>
      </x:c>
      <x:c r="W12" s="25" t="str">
        <x:v>AI AUDITED</x:v>
      </x:c>
    </x:row>
    <x:row r="13" ht="340" customHeight="1">
      <x:c r="A13" s="57" t="str">
        <x:v>I005-S1-06B</x:v>
      </x:c>
      <x:c r="B13" s="24" t="str">
        <x:v>I-005</x:v>
      </x:c>
      <x:c r="C13" s="24" t="str">
        <x:v>Season 1</x:v>
      </x:c>
      <x:c r="D13" s="24" t="str">
        <x:v>6</x:v>
      </x:c>
      <x:c r="E13" s="24" t="str">
        <x:v>B</x:v>
      </x:c>
      <x:c r="F13" s="24" t="str">
        <x:v>Ga tuyết lông vũ</x:v>
      </x:c>
      <x:c r="G13"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Dream Train doorway toward Feather Snow Station, keeping the transparent column and star target visible. No cuts.
Setting and opening state: the glowing feather marker has begun a slow descent. Bố holds the broad catcher fully open inside the enclosed station column. Meo stands beside the side timing marks and center target.
0–2s: Meo points to the fully open symbol and traces the feather’s slow route toward the center star. Bố keeps the catcher at maximum area.
2–7s: the feather descends steadily, at a visibly slow steady rate. Bố makes one small left-right correction with the padded catcher handle while keeping it fully open. The moving air around the broad surface gently guides the feather toward the centerline. Meo watches it cross the lower timing mark and signals Bố to hold still.
7–9s: the lightweight feather settles softly onto the padded star target. Bố closes the return handle only after the marker stops.
9–10s: the transparent column glows like falling snow. Meo says in Vietnamese, with a warm five-year-old voice and clear, delighted delivery: “Bố ơi, bông tuyết đáp trúng rồi!” Keep the exact wording; do not translate it.
Physics: larger surface area increases aerodynamic drag and slows descent; small catcher-position changes redirect the local airflow while preserving the slow fall.
Audio: train hum, airy hiss, soft fabric flutter, gentle landing tap, magical chime, short dialogue.
Constraints: exact A-to-B continuity; preserve identity, age and clothing; all moving parts remain enclosed inside transparent column; lightweight soft marker; no throwing, jumping, climbing, cold exposure, falls, extra characters, dangerous motion, cuts or text.</x:v>
      </x:c>
      <x:c r="H13" s="24" t="str">
        <x:v>Lực cản khí động + diện tích bề mặt</x:v>
      </x:c>
      <x:c r="I13" s="24" t="str">
        <x:v>Tự hào khi làm chậm và dẫn một cú đáp nhẹ</x:v>
      </x:c>
      <x:c r="J13" s="24" t="str">
        <x:v>Cùng cửa Dream Train và Feather Snow Station</x:v>
      </x:c>
      <x:c r="K13" s="24" t="str">
        <x:v>Mốc lông vũ đang rơi chậm; bộ hứng mở hết; Bố ở tay nắm; Meo cạnh dấu thời gian</x:v>
      </x:c>
      <x:c r="L13" s="24" t="str">
        <x:v>Meo hướng dẫn đoạn rơi chậm cuối, Bố giữ diện tích tối đa và chỉnh tâm một chút</x:v>
      </x:c>
      <x:c r="M13" s="24" t="str">
        <x:v>Theo dõi dấu thời gian dưới, ra hiệu giữ và kiểm tra đáp mềm đúng sao tâm</x:v>
      </x:c>
      <x:c r="N13" s="24" t="str">
        <x:v>Giữ và dịch nhẹ bộ hứng, rồi đóng tay trả sau khi đáp</x:v>
      </x:c>
      <x:c r="O13" s="24" t="str">
        <x:v>Lông vũ nằm trên mục tiêu sao; cột tuyết phát sáng; kết thúc tích cực</x:v>
      </x:c>
      <x:c r="P13" s="24" t="str">
        <x:v>Cùng góc medium-wide để giữ continuity; không cắt cảnh</x:v>
      </x:c>
      <x:c r="Q13" s="24" t="str">
        <x:v>Diện tích lớn tăng lực cản để giảm tốc; dịch nhẹ bộ hứng đổi hướng luồng khí cục bộ</x:v>
      </x:c>
      <x:c r="R13" s="24" t="str">
        <x:v>Meo: “Bố ơi, bông tuyết đáp trúng rồi!”</x:v>
      </x:c>
      <x:c r="S13" s="24" t="str">
        <x:v>Tàu ngân; khí xì; vải phấp phới; tiếng đáp; chuông phép thuật; thoại ngắn</x:v>
      </x:c>
      <x:c r="T13" s="24" t="str">
        <x:v>PASS — G-010/G-011/G-012/G-020/G-034/G-036/G-120; exact A→B handoff, Bố indispensable, drag clue resolves landing safely.</x:v>
      </x:c>
      <x:c r="U13" s="24" t="str">
        <x:v>PASS — G-002/G-003/G-030/G-031/G-037/G-040/G-050/G-051/G-060/G-070/G-080/G-081/G-090/G-150/G-160/G-161/G-162/G-163/G-164; 316 words; zero at-sign characters.</x:v>
      </x:c>
      <x:c r="V13" s="24" t="str">
        <x:v>AI text audit only; visual/render audit not yet performed. USER APPROVAL pending.</x:v>
      </x:c>
      <x:c r="W13" s="25" t="str">
        <x:v>AI AUDITED</x:v>
      </x:c>
    </x:row>
    <x:row r="14" ht="340" customHeight="1">
      <x:c r="A14" s="57" t="str">
        <x:v>I005-S1-07A</x:v>
      </x:c>
      <x:c r="B14" s="24" t="str">
        <x:v>I-005</x:v>
      </x:c>
      <x:c r="C14" s="24" t="str">
        <x:v>Season 1</x:v>
      </x:c>
      <x:c r="D14" s="24" t="str">
        <x:v>7</x:v>
      </x:c>
      <x:c r="E14" s="24" t="str">
        <x:v>A</x:v>
      </x:c>
      <x:c r="F14" s="24" t="str">
        <x:v>Ga thủy cung mặt trăng</x:v>
      </x:c>
      <x:c r="G14"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three-quarter shot from the Dream Train doorway toward Moon Aquarium Station. No cuts.
Setting: the train door reveals a moonlit underwater-style dream station behind clear walls. A sealed blue-fluid tube connects two low transparent cylinders. The small far piston carries a glowing fish-shaped station sign that must rise to the doorway mark. Bố controls the broad padded near piston; Meo watches fluid and height marks.
0–2s: Bố opens the train door and presses the near piston only a little. The blue fluid moves through the sealed tube and the far piston rises slightly.
2–7s: Bố releases; the far piston lowers. He presses farther and the far sign rises higher. Meo compares the near-piston travel with the far height marks and notices that every downward movement of the near piston pushes the enclosed fluid toward the far cylinder. Bố pauses with the fish sign just below a crescent target.
7–9s: Meo points from the remaining near-piston travel to the crescent height mark and signals one smaller final press.
9–10s: Bố begins the final press, but the fish sign is still below the crescent. End unresolved.
Physics: nearly incompressible fluid in a sealed connected system transmits pressure and displaced volume from the near piston to the far piston, producing upward motion.
Audio: train hum, soft fluid swish, padded piston squeak, aquarium chimes. No dialogue.
Constraints: preserve identity, age and clothing; fluid fully sealed behind clear walls; low slow pistons with covered gaps; no water contact, glass breakage, pinching, climbing, falls, extra characters, dangerous motion, cuts or text.</x:v>
      </x:c>
      <x:c r="H14" s="24" t="str">
        <x:v>Truyền thủy lực kín + dịch chuyển piston</x:v>
      </x:c>
      <x:c r="I14" s="24" t="str">
        <x:v>Ngạc nhiên chuyển thành so sánh input–output nhìn thấy</x:v>
      </x:c>
      <x:c r="J14" s="24" t="str">
        <x:v>Cửa Dream Train hướng ra ga kiểu thủy cung dưới trăng</x:v>
      </x:c>
      <x:c r="K14" s="24" t="str">
        <x:v>Xi lanh kín chứa chất lỏng xanh; biển cá dưới lưỡi liềm; Bố ở piston gần; Meo cạnh dấu cao</x:v>
      </x:c>
      <x:c r="L14" s="24" t="str">
        <x:v>Ấn một piston kín dịch chất lỏng và nâng piston biển cá xa về mốc ga</x:v>
      </x:c>
      <x:c r="M14" s="24" t="str">
        <x:v>So sánh hành trình piston với độ cao biển và dự đoán khoảng ấn cuối</x:v>
      </x:c>
      <x:c r="N14" s="24" t="str">
        <x:v>Mở cửa, ấn và nhả piston gần có đệm qua các khoảng có kiểm soát</x:v>
      </x:c>
      <x:c r="O14" s="24" t="str">
        <x:v>Biển cá ngay dưới mục tiêu lưỡi liềm; lần ấn cuối đã bắt đầu; chưa giải quyết</x:v>
      </x:c>
      <x:c r="P14" s="24" t="str">
        <x:v>Medium-wide three-quarter từ cửa tàu; không cắt cảnh</x:v>
      </x:c>
      <x:c r="Q14" s="24" t="str">
        <x:v>Chất lỏng kín gần như không nén truyền áp suất và thể tích dịch chuyển từ piston này sang piston kia</x:v>
      </x:c>
      <x:c r="R14" s="24" t="str">
        <x:v>Không thoại</x:v>
      </x:c>
      <x:c r="S14" s="24" t="str">
        <x:v>Tàu ngân; chất lỏng xao động; piston kêu; chuông thủy cung</x:v>
      </x:c>
      <x:c r="T14" s="24" t="str">
        <x:v>PASS — G-010/G-011/G-012/G-020/G-034/G-036/G-120; Dream Train reveal central, Bố indispensable, hydraulic cause–effect visible, child-safe, unresolved Part A.</x:v>
      </x:c>
      <x:c r="U14" s="24" t="str">
        <x:v>PASS — G-002/G-003/G-030/G-031/G-037/G-040/G-050/G-051/G-060/G-070/G-090/G-150/G-160/G-161/G-162/G-163/G-164; 315 words; zero at-sign characters.</x:v>
      </x:c>
      <x:c r="V14" s="24" t="str">
        <x:v>AI text audit only; visual/render audit not yet performed. USER APPROVAL pending.</x:v>
      </x:c>
      <x:c r="W14" s="25" t="str">
        <x:v>AI AUDITED</x:v>
      </x:c>
    </x:row>
    <x:row r="15" ht="340" customHeight="1">
      <x:c r="A15" s="57" t="str">
        <x:v>I005-S1-07B</x:v>
      </x:c>
      <x:c r="B15" s="24" t="str">
        <x:v>I-005</x:v>
      </x:c>
      <x:c r="C15" s="24" t="str">
        <x:v>Season 1</x:v>
      </x:c>
      <x:c r="D15" s="24" t="str">
        <x:v>7</x:v>
      </x:c>
      <x:c r="E15" s="24" t="str">
        <x:v>B</x:v>
      </x:c>
      <x:c r="F15" s="24" t="str">
        <x:v>Ga thủy cung mặt trăng</x:v>
      </x:c>
      <x:c r="G15"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Dream Train doorway, keeping both pistons and the crescent height mark visible. No cuts.
Setting and opening state: the sealed blue-fluid system is pressurized partway. The glowing fish sign on the far piston sits just below the crescent target. Bố holds the padded near piston. Meo stands beside the travel and height marks.
0–2s: Meo points to the remaining piston distance and then to the crescent target, signaling a short controlled press.
2–7s: Bố pushes the near piston down slowly. Blue fluid moves through the connecting tube and the far piston rises at the same time. Meo watches the fish sign approach the crescent and signals slower for the final movement. Bố stops when the sign aligns with the target mark and keeps pressure steady.
7–9s: Bố engages a soft mechanical hold on the near piston. The far piston remains raised while tiny moon bubbles glow inside the sealed decorative panel.
9–10s: the fish sign shines beside the open train door. Meo says in Vietnamese, with a warm five-year-old voice and clear, delighted delivery: “Bố ơi, cá trăng nổi lên rồi!” Keep the exact wording; do not translate it.
Physics: sealed fluid transmits the near piston’s pressure and displaced volume to the far piston; holding the near piston fixes the far piston at the matching height.
Audio: train hum, fluid swish, hold click, gentle bubble chime, short dialogue.
Constraints: exact A-to-B continuity; preserve identity, age and clothing; fluid fully sealed behind clear walls; low slow pistons with covered gaps; no water contact, glass breakage, pinching, climbing, falls, extra characters, dangerous motion, cuts or text.</x:v>
      </x:c>
      <x:c r="H15" s="24" t="str">
        <x:v>Truyền thủy lực kín + dịch chuyển piston</x:v>
      </x:c>
      <x:c r="I15" s="24" t="str">
        <x:v>Tự hào khi biến một lần ấn nhỏ thành chuyển động ở xa</x:v>
      </x:c>
      <x:c r="J15" s="24" t="str">
        <x:v>Cùng cửa Dream Train và Moon Aquarium Station</x:v>
      </x:c>
      <x:c r="K15" s="24" t="str">
        <x:v>Biển cá ngay dưới lưỡi liềm; hệ đang có áp; Bố ở piston gần; Meo cạnh dấu</x:v>
      </x:c>
      <x:c r="L15" s="24" t="str">
        <x:v>Meo hướng dẫn khoảng ấn cuối, Bố nâng và giữ biển cá đúng tại lưỡi liềm</x:v>
      </x:c>
      <x:c r="M15" s="24" t="str">
        <x:v>Ra hiệu ấn ngắn, quan sát hai piston cùng di chuyển và kiểm tra độ cao mục tiêu</x:v>
      </x:c>
      <x:c r="N15" s="24" t="str">
        <x:v>Ấn và giữ cơ học piston gần có đệm</x:v>
      </x:c>
      <x:c r="O15" s="24" t="str">
        <x:v>Biển cá thẳng lưỡi liềm; bong bóng trăng phát sáng; kết thúc tích cực</x:v>
      </x:c>
      <x:c r="P15" s="24" t="str">
        <x:v>Cùng góc medium-wide để giữ continuity; không cắt cảnh</x:v>
      </x:c>
      <x:c r="Q15" s="24" t="str">
        <x:v>Chất lỏng kín truyền áp và thể tích dịch chuyển, nên piston gần đi xuống làm piston xa đi lên</x:v>
      </x:c>
      <x:c r="R15" s="24" t="str">
        <x:v>Meo: “Bố ơi, cá trăng nổi lên rồi!”</x:v>
      </x:c>
      <x:c r="S15" s="24" t="str">
        <x:v>Tàu ngân; chất lỏng xao động; chốt giữ; chuông bong bóng; thoại ngắn</x:v>
      </x:c>
      <x:c r="T15" s="24" t="str">
        <x:v>PASS — G-010/G-011/G-012/G-020/G-034/G-036/G-120; exact A→B handoff, Bố indispensable, hydraulic clue resolves sign height safely.</x:v>
      </x:c>
      <x:c r="U15" s="24" t="str">
        <x:v>PASS — G-002/G-003/G-030/G-031/G-037/G-040/G-050/G-051/G-060/G-070/G-080/G-081/G-090/G-150/G-160/G-161/G-162/G-163/G-164; 320 words; zero at-sign characters.</x:v>
      </x:c>
      <x:c r="V15" s="24" t="str">
        <x:v>AI text audit only; visual/render audit not yet performed. USER APPROVAL pending.</x:v>
      </x:c>
      <x:c r="W15" s="25" t="str">
        <x:v>AI AUDITED</x:v>
      </x:c>
    </x:row>
    <x:row r="16" ht="340" customHeight="1">
      <x:c r="A16" s="57" t="str">
        <x:v>I005-S1-08A</x:v>
      </x:c>
      <x:c r="B16" s="24" t="str">
        <x:v>I-005</x:v>
      </x:c>
      <x:c r="C16" s="24" t="str">
        <x:v>Season 1</x:v>
      </x:c>
      <x:c r="D16" s="24" t="str">
        <x:v>8</x:v>
      </x:c>
      <x:c r="E16" s="24" t="str">
        <x:v>A</x:v>
      </x:c>
      <x:c r="F16" s="24" t="str">
        <x:v>Ga bầu trời patchwork</x:v>
      </x:c>
      <x:c r="G16"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front three-quarter shot from the Dream Train doorway toward Patchwork Sky Station. No cuts.
Setting: the train door opens onto a sky made from soft geometric cloud tiles fitted inside a flat padded frame. One movable blue tile leaves a star-shaped gap because its tabs and notches do not match the neighboring edges. Bố holds side handles that slide and rotate the tile; Meo watches colored edge symbols.
0–2s: Bố opens the train door and slides the blue tile toward the gap. One rounded tab meets another tab, so the piece stops before lying flat.
2–7s: Bố pulls the tile back and rotates it one step. A notch now matches one neighbor, but a second edge still collides. Meo compares the red-circle and yellow-triangle symbols printed beside each tab and notch. She notices the only orientation where every outward tab faces a matching inward notch around the star gap.
7–9s: Meo traces the correct edge sequence clockwise and signals Bố to rotate the tile one more step, then slide it straight inward.
9–10s: Bố reaches the correct orientation but holds the tile just outside the gap. End unresolved.
Physics: tessellating pieces fit without overlap only when complementary tabs and notches share the same boundary positions; wrong orientations create edge collisions.
Audio: train hum, soft tile rub, padded handle clicks, airy sky chimes. No dialogue.
Constraints: preserve identity, age and clothing; lightweight foam tiles in a fixed flat frame; hands remain on padded handles; no loose pieces near faces, climbing, falls, sharp edges, extra characters, dangerous motion, cuts or readable text.</x:v>
      </x:c>
      <x:c r="H16" s="24" t="str">
        <x:v>Lát ghép + khớp cạnh bổ sung</x:v>
      </x:c>
      <x:c r="I16" s="24" t="str">
        <x:v>Tò mò chuyển thành dự đoán độ khớp không gian</x:v>
      </x:c>
      <x:c r="J16" s="24" t="str">
        <x:v>Cửa Dream Train hướng ra bầu trời patchwork hình học mềm</x:v>
      </x:c>
      <x:c r="K16" s="24" t="str">
        <x:v>Miếng mây xanh ngoài khe hình sao; Bố ở tay nắm miếng; Meo cạnh ký hiệu cạnh</x:v>
      </x:c>
      <x:c r="L16" s="24" t="str">
        <x:v>Xoay sai làm các tab va nhau; tab và rãnh bổ sung cho phép lắp không khe</x:v>
      </x:c>
      <x:c r="M16" s="24" t="str">
        <x:v>So sánh các cạnh lân cận, lần theo ký hiệu bổ sung và xác định hướng duy nhất không va</x:v>
      </x:c>
      <x:c r="N16" s="24" t="str">
        <x:v>Mở cửa, trượt và xoay miếng foam qua các hướng có kiểm soát</x:v>
      </x:c>
      <x:c r="O16" s="24" t="str">
        <x:v>Miếng đã đúng hướng ngay ngoài khe; chưa giải quyết</x:v>
      </x:c>
      <x:c r="P16" s="24" t="str">
        <x:v>Medium-wide front three-quarter từ cửa tàu; không cắt cảnh</x:v>
      </x:c>
      <x:c r="Q16" s="24" t="str">
        <x:v>Các mảnh tessellation chỉ khớp khi biên bổ sung nằm đúng vị trí mà không chồng lấn</x:v>
      </x:c>
      <x:c r="R16" s="24" t="str">
        <x:v>Không thoại</x:v>
      </x:c>
      <x:c r="S16" s="24" t="str">
        <x:v>Tàu ngân; miếng mềm cọ; tay nắm click; chuông trời</x:v>
      </x:c>
      <x:c r="T16" s="24" t="str">
        <x:v>PASS — G-010/G-011/G-012/G-020/G-034/G-036/G-120; Dream Train reveal central, Bố indispensable, tessellation clue visible, child-safe, unresolved Part A.</x:v>
      </x:c>
      <x:c r="U16" s="24" t="str">
        <x:v>PASS — G-002/G-003/G-030/G-031/G-037/G-040/G-050/G-051/G-060/G-070/G-090/G-150/G-160/G-161/G-162/G-163/G-164; 320 words; zero at-sign characters.</x:v>
      </x:c>
      <x:c r="V16" s="24" t="str">
        <x:v>AI text audit only; visual/render audit not yet performed. USER APPROVAL pending.</x:v>
      </x:c>
      <x:c r="W16" s="25" t="str">
        <x:v>AI AUDITED</x:v>
      </x:c>
    </x:row>
    <x:row r="17" ht="340" customHeight="1">
      <x:c r="A17" s="57" t="str">
        <x:v>I005-S1-08B</x:v>
      </x:c>
      <x:c r="B17" s="24" t="str">
        <x:v>I-005</x:v>
      </x:c>
      <x:c r="C17" s="24" t="str">
        <x:v>Season 1</x:v>
      </x:c>
      <x:c r="D17" s="24" t="str">
        <x:v>8</x:v>
      </x:c>
      <x:c r="E17" s="24" t="str">
        <x:v>B</x:v>
      </x:c>
      <x:c r="F17" s="24" t="str">
        <x:v>Ga bầu trời patchwork</x:v>
      </x:c>
      <x:c r="G17"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Dream Train doorway toward Patchwork Sky Station, keeping the star gap and edge symbols visible. No cuts.
Setting and opening state: the movable blue cloud tile is oriented just outside the star-shaped gap. Its complementary tabs and notches now face the matching neighboring edges. Bố holds the two padded side handles. Meo stands beside the colored edge symbols.
0–2s: Meo points around the gap, checking each tab-to-notch pair, then signals Bố to slide the tile straight inward without rotating it.
2–7s: Bố pushes both handles evenly. The blue tile moves into the frame; each rounded tab enters its matching notch without collision. Meo tracks four boundaries as the gaps shrink together and signals him to continue until the tile becomes flush with its neighbors.
7–9s: Bố locks both side handles into catches. The completed patchwork sky lies flat, with the former star gap now filled by a glowing star motif across the joined edges.
9–10s: the train door frames the finished sky. Meo says in Vietnamese, with a warm five-year-old voice and clear, delighted delivery: “Bố ơi, bầu trời khớp rồi!” Keep the exact wording; do not translate it.
Physics: complementary boundary shapes permit a tessellating piece to occupy the gap without overlap; equal straight insertion keeps all matching edges engaged together.
Audio: train hum, soft tile slide, catch clicks, airy magical chime, short dialogue.
Constraints: exact A-to-B continuity; preserve identity, age and clothing; lightweight foam tiles in a fixed flat frame; hands remain on padded handles; no loose pieces near faces, climbing, falls, sharp edges, extra characters, dangerous motion, cuts or readable text.</x:v>
      </x:c>
      <x:c r="H17" s="24" t="str">
        <x:v>Lát ghép + khớp cạnh bổ sung</x:v>
      </x:c>
      <x:c r="I17" s="24" t="str">
        <x:v>Vui khi cùng hoàn thiện cả bầu trời mơ</x:v>
      </x:c>
      <x:c r="J17" s="24" t="str">
        <x:v>Cùng cửa Dream Train và Patchwork Sky Station</x:v>
      </x:c>
      <x:c r="K17" s="24" t="str">
        <x:v>Miếng xanh đúng hướng ngoài khe sao; Bố ở tay nắm hai bên; Meo cạnh ký hiệu cạnh</x:v>
      </x:c>
      <x:c r="L17" s="24" t="str">
        <x:v>Meo kiểm tra mọi cạnh bổ sung, Bố lắp và khóa miếng phẳng với bầu trời</x:v>
      </x:c>
      <x:c r="M17" s="24" t="str">
        <x:v>Kiểm tra từng cặp tab-rãnh, ra hiệu đẩy thẳng và xác nhận bốn biên cùng khép</x:v>
      </x:c>
      <x:c r="N17" s="24" t="str">
        <x:v>Đẩy đều hai tay nắm và khóa vào chốt</x:v>
      </x:c>
      <x:c r="O17" s="24" t="str">
        <x:v>Bầu trời patchwork phẳng và hoàn chỉnh; motif sao ghép phát sáng; kết thúc ấm</x:v>
      </x:c>
      <x:c r="P17" s="24" t="str">
        <x:v>Cùng góc medium-wide để giữ continuity; không cắt cảnh</x:v>
      </x:c>
      <x:c r="Q17" s="24" t="str">
        <x:v>Cạnh bổ sung cho phép lát ghép không va; đẩy thẳng đều giúp mọi biên ăn khớp cùng lúc</x:v>
      </x:c>
      <x:c r="R17" s="24" t="str">
        <x:v>Meo: “Bố ơi, bầu trời khớp rồi!”</x:v>
      </x:c>
      <x:c r="S17" s="24" t="str">
        <x:v>Tàu ngân; miếng trượt mềm; chốt click; chuông thoáng; thoại ngắn</x:v>
      </x:c>
      <x:c r="T17" s="24" t="str">
        <x:v>PASS — G-010/G-011/G-012/G-020/G-034/G-036/G-120; exact A→B handoff, Bố indispensable, tessellation clue resolves sky safely.</x:v>
      </x:c>
      <x:c r="U17" s="24" t="str">
        <x:v>PASS — G-002/G-003/G-030/G-031/G-037/G-040/G-050/G-051/G-060/G-070/G-080/G-081/G-090/G-150/G-160/G-161/G-162/G-163/G-164; 320 words; zero at-sign characters.</x:v>
      </x:c>
      <x:c r="V17" s="24" t="str">
        <x:v>AI text audit only; visual/render audit not yet performed. USER APPROVAL pending.</x:v>
      </x:c>
      <x:c r="W17" s="25" t="str">
        <x:v>AI AUDITED</x:v>
      </x:c>
    </x:row>
    <x:row r="18" ht="340" customHeight="1">
      <x:c r="A18" s="57" t="str">
        <x:v>I005-S1-09A</x:v>
      </x:c>
      <x:c r="B18" s="24" t="str">
        <x:v>I-005</x:v>
      </x:c>
      <x:c r="C18" s="24" t="str">
        <x:v>Season 1</x:v>
      </x:c>
      <x:c r="D18" s="24" t="str">
        <x:v>9</x:v>
      </x:c>
      <x:c r="E18" s="24" t="str">
        <x:v>A</x:v>
      </x:c>
      <x:c r="F18" s="24" t="str">
        <x:v>Ga hồ gợn sóng</x:v>
      </x:c>
      <x:c r="G18"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side shot from the Dream Train doorway toward Ripple Lake Station. No cuts.
Setting: the train door reveals a violet dream lake. A sealed shallow water channel sits behind clear panels. A moon float must rise to a crescent mark. Bố has padded pulse handles at both ends; Meo watches ripple lines.
0–2s: Bố opens the train door and presses the left pulse handle once. A gentle ripple travels through the enclosed channel, reaches the center float and lifts it only halfway to the crescent.
2–7s: Bố presses the right handle once. The same half-height lift appears. Meo compares both results and notices two matching wave symbols equidistant from center. Bố then presses the left handle slightly before the right; the ripples meet off center, making the moon float wobble but not reach the target. Meo watches where the two crests cross.
7–9s: Meo points to both handles at once, then to the center moon, signaling that matching ripples should arrive together.
9–10s: Bố places one hand on each handle, ready for a simultaneous pulse. The moon remains below the crescent. End unresolved.
Physics: individual ripples produce limited vertical displacement; two matching wave crests arriving together at the center temporarily add their amplitudes through constructive superposition.
Audio: train hum, gentle water pulse, soft ripple taps, lake chimes. No dialogue.
Constraints: preserve identity, age and clothing; water fully sealed behind clear panels; shallow low channel; padded controls only; no water contact, splashing, glass breakage, climbing, falls, extra characters, dangerous motion, cuts or text.</x:v>
      </x:c>
      <x:c r="H18" s="24" t="str">
        <x:v>Chồng sóng + suy luận xung đồng bộ</x:v>
      </x:c>
      <x:c r="I18" s="24" t="str">
        <x:v>Tò mò chuyển thành phối hợp thời điểm của hai nguyên nhân</x:v>
      </x:c>
      <x:c r="J18" s="24" t="str">
        <x:v>Cửa Dream Train hướng ra hồ gợn tím</x:v>
      </x:c>
      <x:c r="K18" s="24" t="str">
        <x:v>Kênh nước kín; phao trăng dưới lưỡi liềm; Bố ở hai tay tạo xung; Meo cạnh ký hiệu sóng</x:v>
      </x:c>
      <x:c r="L18" s="24" t="str">
        <x:v>Một gợn chỉ nâng trăng nửa chừng; hai đỉnh sóng khớp tới cùng lúc có thể cộng nhau ở tâm</x:v>
      </x:c>
      <x:c r="M18" s="24" t="str">
        <x:v>So sánh xung trái, phải và lệch thời điểm, rồi xác định cần input đồng thời</x:v>
      </x:c>
      <x:c r="N18" s="24" t="str">
        <x:v>Mở cửa và vận hành hai tay xung đệm trong các test có kiểm soát</x:v>
      </x:c>
      <x:c r="O18" s="24" t="str">
        <x:v>Nước yên; Bố sẵn sàng trên hai tay nắm; trăng dưới lưỡi liềm; chưa giải quyết</x:v>
      </x:c>
      <x:c r="P18" s="24" t="str">
        <x:v>Medium-wide ngang từ cửa tàu; không cắt cảnh</x:v>
      </x:c>
      <x:c r="Q18" s="24" t="str">
        <x:v>Hai đỉnh sóng khớp tới cùng lúc cộng biên độ qua giao thoa tăng cường</x:v>
      </x:c>
      <x:c r="R18" s="24" t="str">
        <x:v>Không thoại</x:v>
      </x:c>
      <x:c r="S18" s="24" t="str">
        <x:v>Tàu ngân; xung nước; tiếng gợn; chuông hồ</x:v>
      </x:c>
      <x:c r="T18" s="24" t="str">
        <x:v>PASS — G-010/G-011/G-012/G-020/G-034/G-036/G-120; Dream Train reveal central, Bố indispensable, wave-combination clue visible, child-safe, unresolved Part A.</x:v>
      </x:c>
      <x:c r="U18" s="24" t="str">
        <x:v>PASS — G-002/G-003/G-030/G-031/G-037/G-040/G-050/G-051/G-060/G-070/G-090/G-150/G-160/G-161/G-162/G-163/G-164; 312 words; zero at-sign characters.</x:v>
      </x:c>
      <x:c r="V18" s="24" t="str">
        <x:v>AI text audit only; visual/render audit not yet performed. USER APPROVAL pending.</x:v>
      </x:c>
      <x:c r="W18" s="25" t="str">
        <x:v>AI AUDITED</x:v>
      </x:c>
    </x:row>
    <x:row r="19" ht="340" customHeight="1">
      <x:c r="A19" s="57" t="str">
        <x:v>I005-S1-09B</x:v>
      </x:c>
      <x:c r="B19" s="24" t="str">
        <x:v>I-005</x:v>
      </x:c>
      <x:c r="C19" s="24" t="str">
        <x:v>Season 1</x:v>
      </x:c>
      <x:c r="D19" s="24" t="str">
        <x:v>9</x:v>
      </x:c>
      <x:c r="E19" s="24" t="str">
        <x:v>B</x:v>
      </x:c>
      <x:c r="F19" s="24" t="str">
        <x:v>Ga hồ gợn sóng</x:v>
      </x:c>
      <x:c r="G19"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Dream Train doorway, keeping both pulse handles and center float visible. No cuts.
Setting and opening state: the water in the sealed channel is calm. A retracted padded center shelf is visible directly beneath the glowing crescent, and the moon float rests below it. Bố holds both padded pulse handles. Meo stands beside the matching wave symbols.
0–2s: Meo points to both handles together, then to the center mark, signaling one simultaneous press.
2–7s: Bố presses both handles at the same time equally. Two matching ripples move inward from opposite ends. Meo watches their crests approach the moon float symmetrically. The ripples meet at the center; their vertical motions add briefly and lift the moon float exactly to the crescent mark, where the crest visibly releases the shelf latch. Meo signals hold while Bố keeps both handles at their soft stops until the peak passes.
7–9s: the retracted padded shelf slides out beneath the float. Bố releases both handles together, and the float settles onto the now-visible shelf.
9–10s: the violet lake glows beyond the train door. Meo says in Vietnamese, with a warm five-year-old voice and clear, delighted delivery: “Bố ơi, hai gợn gặp nhau rồi!” Keep the exact wording; do not translate it.
Physics: equal wave crests arriving together produce constructive superposition, temporarily increasing the center displacement enough to reach the target and release the shelf.
Audio: train hum, paired water pulses, soft ripple meeting sound, magical lake chime, short dialogue.
Constraints: exact A-to-B continuity; preserve identity, age and clothing; water fully sealed behind clear panels; shallow low channel; padded controls only; no water contact, splashing, glass breakage, climbing, falls, extra characters, dangerous motion, cuts or text.</x:v>
      </x:c>
      <x:c r="H19" s="24" t="str">
        <x:v>Chồng sóng + suy luận xung đồng bộ</x:v>
      </x:c>
      <x:c r="I19" s="24" t="str">
        <x:v>Vui khi kết hợp hai hành động nhẹ thành kết quả mạnh hơn</x:v>
      </x:c>
      <x:c r="J19" s="24" t="str">
        <x:v>Cùng cửa Dream Train và Ripple Lake Station</x:v>
      </x:c>
      <x:c r="K19" s="24" t="str">
        <x:v>Nước yên; trăng dưới lưỡi liềm; Bố giữ hai tay xung; Meo cạnh ký hiệu sóng</x:v>
      </x:c>
      <x:c r="L19" s="24" t="str">
        <x:v>Meo ra hiệu đồng thời, Bố tạo hai gợn khớp gặp nhau ở tâm và nâng trăng tới mục tiêu</x:v>
      </x:c>
      <x:c r="M19" s="24" t="str">
        <x:v>Kiểm tra đối xứng, ra hiệu hai tay cùng lúc và xác nhận độ cao đỉnh ở tâm</x:v>
      </x:c>
      <x:c r="N19" s="24" t="str">
        <x:v>Ấn và nhả hai tay tạo xung đệm cùng lúc</x:v>
      </x:c>
      <x:c r="O19" s="24" t="str">
        <x:v>Trăng chạm lưỡi liềm và nằm trên kệ đã mở; hồ phát sáng; kết thúc tích cực</x:v>
      </x:c>
      <x:c r="P19" s="24" t="str">
        <x:v>Cùng góc medium-wide để giữ continuity; không cắt cảnh</x:v>
      </x:c>
      <x:c r="Q19" s="24" t="str">
        <x:v>Giao thoa tăng cường cộng hai dịch chuyển sóng bằng nhau tại tâm khi hai đỉnh tới cùng lúc</x:v>
      </x:c>
      <x:c r="R19" s="24" t="str">
        <x:v>Meo: “Bố ơi, hai gợn gặp nhau rồi!”</x:v>
      </x:c>
      <x:c r="S19" s="24" t="str">
        <x:v>Tàu ngân; hai xung nước; tiếng gợn gặp nhau; chuông hồ; thoại ngắn</x:v>
      </x:c>
      <x:c r="T19" s="24" t="str">
        <x:v>PASS — G-010/G-011/G-012/G-020/G-034/G-036/G-120; exact A→B handoff, Bố indispensable, simultaneous pulse resolves target safely.</x:v>
      </x:c>
      <x:c r="U19" s="24" t="str">
        <x:v>PASS — G-002/G-003/G-030/G-031/G-037/G-040/G-050/G-051/G-060/G-070/G-080/G-081/G-090/G-150/G-160/G-161/G-162/G-163/G-164; 315 words; zero at-sign characters.</x:v>
      </x:c>
      <x:c r="V19" s="24" t="str">
        <x:v>AI text audit only; visual/render audit not yet performed. USER APPROVAL pending.</x:v>
      </x:c>
      <x:c r="W19" s="25" t="str">
        <x:v>AI AUDITED</x:v>
      </x:c>
    </x:row>
    <x:row r="20" ht="340" customHeight="1">
      <x:c r="A20" s="57" t="str">
        <x:v>I005-S1-10A</x:v>
      </x:c>
      <x:c r="B20" s="24" t="str">
        <x:v>I-005</x:v>
      </x:c>
      <x:c r="C20" s="24" t="str">
        <x:v>Season 1</x:v>
      </x:c>
      <x:c r="D20" s="24" t="str">
        <x:v>10</x:v>
      </x:c>
      <x:c r="E20" s="24" t="str">
        <x:v>A</x:v>
      </x:c>
      <x:c r="F20" s="24" t="str">
        <x:v>Ga giấc mơ về nhà</x:v>
      </x:c>
      <x:c r="G20"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front three-quarter shot inside the Dream Train facing its final closed homeward door. No cuts.
Setting: the train interior glows with ten tiny station stars. The homeward door has three broad padded latch sliders stacked vertically: moon, cloud and star. An indicator shows one glowing path from bottom to top.
0–2s: Bố holds the door rail and tries the middle cloud slider first. It moves halfway, then springs back; all three indicators remain dim.
2–7s: Bố tries the bottom moon slider. It clicks fully into place and the first indicator glows. He then reaches for the top star slider, but it will not move because the middle latch is still closed. Meo compares the failed middle-first attempt with the successful bottom latch and follows the illuminated path: moon, then cloud, then star. Bố resets his hands to the three padded handles.
7–9s: Meo points bottom-to-middle-to-top in order and then to the door seam. Bố places one hand on the moon slider and one near the cloud slider, ready to follow her sequence.
9–10s: only the moon indicator glows; the homeward door is still closed. End unresolved.
Physics: the latches are mechanically interlocked; each lower latch releases the next slider, so the door can open only after the three dependencies are completed in sequence.
Audio: soft train hum, latch clicks, gentle spring return, distant home chime. No dialogue.
Constraints: preserve identity, age and clothing; broad padded sliders with covered mechanisms; stable train interior; no pinching, forceful door movement, climbing, falls, extra characters, dangerous motion, cuts or readable text.</x:v>
      </x:c>
      <x:c r="H20" s="24" t="str">
        <x:v>Khóa liên động cơ học + suy luận thứ tự phụ thuộc</x:v>
      </x:c>
      <x:c r="I20" s="24" t="str">
        <x:v>Mong đợi chuyển thành tự tin sắp xếp đường về nhà</x:v>
      </x:c>
      <x:c r="J20" s="24" t="str">
        <x:v>Bên trong Dream Train đối diện cửa về nhà cuối đang đóng</x:v>
      </x:c>
      <x:c r="K20" s="24" t="str">
        <x:v>Ba chốt đệm đóng; đường chỉ báo từ dưới lên; Bố ở bộ điều khiển; Meo cạnh ký hiệu</x:v>
      </x:c>
      <x:c r="L20" s="24" t="str">
        <x:v>Mỗi chốt dưới giải phóng chốt kế, nên sai thứ tự sẽ khóa chuyển động còn đúng thứ tự mở cửa</x:v>
      </x:c>
      <x:c r="M20" s="24" t="str">
        <x:v>So sánh test chốt thất bại/thành công, đọc đường phụ thuộc phát sáng và xác định trình tự</x:v>
      </x:c>
      <x:c r="N20" s="24" t="str">
        <x:v>Thử, reset và đặt tay trên ba slider chốt đệm</x:v>
      </x:c>
      <x:c r="O20" s="24" t="str">
        <x:v>Chốt trăng đã gài; mây và sao còn đóng; cửa về nhà vẫn khóa; chưa giải quyết</x:v>
      </x:c>
      <x:c r="P20" s="24" t="str">
        <x:v>Medium-wide front three-quarter trong tàu; không cắt cảnh</x:v>
      </x:c>
      <x:c r="Q20" s="24" t="str">
        <x:v>Khóa liên động chỉ cho slider kế tiếp chạy sau khi chốt trước đã vào đúng vị trí</x:v>
      </x:c>
      <x:c r="R20" s="24" t="str">
        <x:v>Không thoại</x:v>
      </x:c>
      <x:c r="S20" s="24" t="str">
        <x:v>Tàu ngân; chốt click; lò xo trả; chuông nhà xa</x:v>
      </x:c>
      <x:c r="T20" s="24" t="str">
        <x:v>PASS — G-010/G-011/G-012/G-020/G-034/G-036/G-120; finale uses Dream Train identity, Bố indispensable, dependency sequence visible, child-safe, unresolved Part A.</x:v>
      </x:c>
      <x:c r="U20" s="24" t="str">
        <x:v>PASS — G-002/G-003/G-030/G-031/G-037/G-040/G-050/G-051/G-060/G-070/G-090/G-150/G-160/G-161/G-162/G-163/G-164; 317 words; zero at-sign characters.</x:v>
      </x:c>
      <x:c r="V20" s="24" t="str">
        <x:v>AI text audit only; visual/render audit not yet performed. USER APPROVAL pending.</x:v>
      </x:c>
      <x:c r="W20" s="25" t="str">
        <x:v>AI AUDITED</x:v>
      </x:c>
    </x:row>
    <x:row r="21" ht="340" customHeight="1">
      <x:c r="A21" s="58" t="str">
        <x:v>I005-S1-10B</x:v>
      </x:c>
      <x:c r="B21" s="27" t="str">
        <x:v>I-005</x:v>
      </x:c>
      <x:c r="C21" s="27" t="str">
        <x:v>Season 1</x:v>
      </x:c>
      <x:c r="D21" s="27" t="str">
        <x:v>10</x:v>
      </x:c>
      <x:c r="E21" s="27" t="str">
        <x:v>B</x:v>
      </x:c>
      <x:c r="F21" s="27" t="str">
        <x:v>Ga giấc mơ về nhà</x:v>
      </x:c>
      <x:c r="G21"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Dream Train angle, keeping the latches and homeward door visible. No cuts.
Setting and opening state: the moon latch glows. Cloud and star sliders remain closed. Bố holds the controls; Meo stands beside the lit path.
0–2s: Meo points from the glowing moon to the cloud symbol. Bố slides the middle cloud latch fully; it clicks, lights the second indicator and releases the top slider.
2–7s: Meo points to the star. Bố slides the top star latch into place. All three station symbols glow vertically. A release light appears along the seam. Bố keeps the side rail and slides the padded train door open slowly. Beyond it is a warm familiar home room in soft evening light, with dream colors glowing around the doorway.
7–9s: Bố locks the open door in its soft stop. Meo looks from the ten tiny station stars inside the train to the calm room beyond, and smiles at Bố.
9–10s: the Dream Train gives a farewell glow. Meo says in Vietnamese, with a warm five-year-old voice and clear, delighted delivery: “Bố ơi, mình về nhà rồi!” Keep the exact wording; do not translate it.
Physics: the mechanical interlock releases each next latch only after the previous one is seated; completing all three dependencies frees the door slider for controlled opening.
Audio: train hum, two latch clicks, soft door slide, warm farewell chime, short dialogue.
Constraints: exact A-to-B continuity; preserve identity, age and clothing; padded sliders, slow door, stable floor; no pinching, running, forceful door movement, climbing, falls, extra characters, dangerous motion, cuts or readable text.</x:v>
      </x:c>
      <x:c r="H21" s="27" t="str">
        <x:v>Khóa liên động cơ học + suy luận thứ tự phụ thuộc</x:v>
      </x:c>
      <x:c r="I21" s="27" t="str">
        <x:v>Khép lại ấm áp khi giải chuỗi cuối và cùng trở về nhà</x:v>
      </x:c>
      <x:c r="J21" s="27" t="str">
        <x:v>Bên trong Dream Train đối diện cửa về nhà cuối</x:v>
      </x:c>
      <x:c r="K21" s="27" t="str">
        <x:v>Chốt trăng đã gài; mây và sao còn đóng; Bố ở điều khiển; Meo cạnh đường sáng</x:v>
      </x:c>
      <x:c r="L21" s="27" t="str">
        <x:v>Meo hướng dẫn mây rồi sao, Bố hoàn tất chuỗi liên động và từ từ mở cửa về nhà</x:v>
      </x:c>
      <x:c r="M21" s="27" t="str">
        <x:v>Chỉ theo phần trình tự còn lại và kiểm tra đủ ba chỉ báo trước khi cửa chạy</x:v>
      </x:c>
      <x:c r="N21" s="27" t="str">
        <x:v>Trượt chốt mây và sao, rồi mở và khóa cửa tàu đệm</x:v>
      </x:c>
      <x:c r="O21" s="27" t="str">
        <x:v>Cửa về nhà mở ra căn phòng quen thuộc ấm áp; mười sao ga phát sáng; kết season</x:v>
      </x:c>
      <x:c r="P21" s="27" t="str">
        <x:v>Cùng góc medium-wide để giữ continuity; không cắt cảnh</x:v>
      </x:c>
      <x:c r="Q21" s="27" t="str">
        <x:v>Hoàn tất từng phụ thuộc cơ học sẽ giải phóng chốt kế và cuối cùng mở slider cửa</x:v>
      </x:c>
      <x:c r="R21" s="27" t="str">
        <x:v>Meo: “Bố ơi, mình về nhà rồi!”</x:v>
      </x:c>
      <x:c r="S21" s="27" t="str">
        <x:v>Tàu ngân; chốt click; cửa trượt nhẹ; chuông tạm biệt; thoại ngắn</x:v>
      </x:c>
      <x:c r="T21" s="27" t="str">
        <x:v>PASS — G-010/G-011/G-012/G-020/G-034/G-036/G-120; exact A→B handoff, Bố indispensable, finale closes the season through observed interlock sequence.</x:v>
      </x:c>
      <x:c r="U21" s="27" t="str">
        <x:v>PASS — G-002/G-003/G-030/G-031/G-037/G-040/G-050/G-051/G-060/G-070/G-080/G-081/G-090/G-150/G-160/G-161/G-162/G-163/G-164; 316 words; zero at-sign characters.</x:v>
      </x:c>
      <x:c r="V21" s="27" t="str">
        <x:v>AI text audit only; visual/render audit not yet performed. USER APPROVAL pending.</x:v>
      </x:c>
      <x:c r="W21" s="28" t="str">
        <x:v>AI AUDITED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8" hidden="0" customWidth="1"/>
    <x:col min="2" max="2" width="12" hidden="0" customWidth="1"/>
    <x:col min="3" max="3" width="32" hidden="0" customWidth="1"/>
    <x:col min="4" max="4" width="10" hidden="0" customWidth="1"/>
    <x:col min="5" max="5" width="10" hidden="0" customWidth="1"/>
    <x:col min="6" max="6" width="10" hidden="0" customWidth="1"/>
    <x:col min="7" max="7" width="74" hidden="0" customWidth="1"/>
    <x:col min="8" max="8" width="38" hidden="0" customWidth="1"/>
    <x:col min="9" max="9" width="82" hidden="0" customWidth="1"/>
  </x:cols>
  <x:sheetData>
    <x:row r="1">
      <x:c r="A1" s="37" t="str">
        <x:v>file_name</x:v>
      </x:c>
      <x:c r="B1" s="56" t="str">
        <x:v>person</x:v>
      </x:c>
      <x:c r="C1" s="56" t="str">
        <x:v>role</x:v>
      </x:c>
      <x:c r="D1" s="56" t="str">
        <x:v>priority</x:v>
      </x:c>
      <x:c r="E1" s="56" t="str">
        <x:v>width</x:v>
      </x:c>
      <x:c r="F1" s="56" t="str">
        <x:v>height</x:v>
      </x:c>
      <x:c r="G1" s="56" t="str">
        <x:v>sha256</x:v>
      </x:c>
      <x:c r="H1" s="56" t="str">
        <x:v>source_original</x:v>
      </x:c>
      <x:c r="I1" s="38" t="str">
        <x:v>usage_note</x:v>
      </x:c>
    </x:row>
    <x:row r="2" ht="62" customHeight="1">
      <x:c r="A2" s="57" t="str">
        <x:v>P08-S05-MEO-PRIMARY.REFERENCE.png</x:v>
      </x:c>
      <x:c r="B2" s="24" t="str">
        <x:v>Meo</x:v>
      </x:c>
      <x:c r="C2" s="24" t="str">
        <x:v>primary_face_hair_identity_only</x:v>
      </x:c>
      <x:c r="D2" s="24" t="n">
        <x:v>1</x:v>
      </x:c>
      <x:c r="E2" s="24" t="n">
        <x:v>1122</x:v>
      </x:c>
      <x:c r="F2" s="24" t="n">
        <x:v>1402</x:v>
      </x:c>
      <x:c r="G2" s="24" t="str">
        <x:v>490EE15F72FF06D97BC0DA09DA50C9AB9390EF2F2AA97221F62F36DAE16C5026</x:v>
      </x:c>
      <x:c r="H2" s="24" t="str">
        <x:v>Input content/Meo2.png</x:v>
      </x:c>
      <x:c r="I2" s="25" t="str">
        <x:v>Identity only; ignore all visible reference clothing and accessories. New written tab wardrobe is authoritative.</x:v>
      </x:c>
    </x:row>
    <x:row r="3" ht="62" customHeight="1">
      <x:c r="A3" s="57" t="str">
        <x:v>P08-S05-MEO-SECONDARY.REFERENCE.png</x:v>
      </x:c>
      <x:c r="B3" s="24" t="str">
        <x:v>Meo</x:v>
      </x:c>
      <x:c r="C3" s="24" t="str">
        <x:v>secondary_face_identity_only</x:v>
      </x:c>
      <x:c r="D3" s="24" t="n">
        <x:v>2</x:v>
      </x:c>
      <x:c r="E3" s="24" t="n">
        <x:v>1024</x:v>
      </x:c>
      <x:c r="F3" s="24" t="n">
        <x:v>1536</x:v>
      </x:c>
      <x:c r="G3" s="24" t="str">
        <x:v>FC0E0E4FD7D6924DDDDDE03D82CF19DC68DAEF1C14DC18972F9DE781C6CCC77D</x:v>
      </x:c>
      <x:c r="H3" s="24" t="str">
        <x:v>Input content/Meo1.png</x:v>
      </x:c>
      <x:c r="I3" s="25" t="str">
        <x:v>Identity only; ignore all visible reference clothing and accessories. New written tab wardrobe is authoritative.</x:v>
      </x:c>
    </x:row>
    <x:row r="4" ht="62" customHeight="1">
      <x:c r="A4" s="57" t="str">
        <x:v>P08-S05-BO-FRONT.REFERENCE.jpg</x:v>
      </x:c>
      <x:c r="B4" s="24" t="str">
        <x:v>Bố</x:v>
      </x:c>
      <x:c r="C4" s="24" t="str">
        <x:v>primary_front_face_glasses_identity_only</x:v>
      </x:c>
      <x:c r="D4" s="24" t="n">
        <x:v>1</x:v>
      </x:c>
      <x:c r="E4" s="24" t="n">
        <x:v>556</x:v>
      </x:c>
      <x:c r="F4" s="24" t="n">
        <x:v>989</x:v>
      </x:c>
      <x:c r="G4" s="24" t="str">
        <x:v>55DC3A0675770C35466B42B8D2D2C6F2D65259E60CDA1762A8BD3312BBBF0624</x:v>
      </x:c>
      <x:c r="H4" s="24" t="str">
        <x:v>Input content/Duc1.jpg</x:v>
      </x:c>
      <x:c r="I4" s="25" t="str">
        <x:v>Identity only; ignore all visible reference clothing and accessories. New written tab wardrobe is authoritative.</x:v>
      </x:c>
    </x:row>
    <x:row r="5" ht="62" customHeight="1">
      <x:c r="A5" s="58" t="str">
        <x:v>P08-S05-BO-SIDE.REFERENCE.jpg</x:v>
      </x:c>
      <x:c r="B5" s="27" t="str">
        <x:v>Bố</x:v>
      </x:c>
      <x:c r="C5" s="27" t="str">
        <x:v>side_face_hair_glasses_identity_only</x:v>
      </x:c>
      <x:c r="D5" s="27" t="n">
        <x:v>2</x:v>
      </x:c>
      <x:c r="E5" s="27" t="n">
        <x:v>556</x:v>
      </x:c>
      <x:c r="F5" s="27" t="n">
        <x:v>989</x:v>
      </x:c>
      <x:c r="G5" s="27" t="str">
        <x:v>708022A6BF3078F2B53742C5840C693837C1705AE41606BF41FA5BE0F941F67A</x:v>
      </x:c>
      <x:c r="H5" s="27" t="str">
        <x:v>Input content/Duc2.jpg</x:v>
      </x:c>
      <x:c r="I5" s="28" t="str">
        <x:v>Identity only; ignore all visible reference clothing and accessories. New written tab wardrobe is authoritative.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76" hidden="0" customWidth="1"/>
    <x:col min="3" max="3" width="76" hidden="0" customWidth="1"/>
  </x:cols>
  <x:sheetData>
    <x:row r="1">
      <x:c r="A1" s="5" t="str">
        <x:v>Pilot 8 S05 Package QC</x:v>
      </x:c>
      <x:c r="B1" s="5"/>
      <x:c r="C1" s="5"/>
    </x:row>
    <x:row r="3">
      <x:c r="A3" s="74" t="str">
        <x:v>Check</x:v>
      </x:c>
      <x:c r="B3" s="75" t="str">
        <x:v>Expected</x:v>
      </x:c>
      <x:c r="C3" s="76" t="str">
        <x:v>Actual / Formula</x:v>
      </x:c>
    </x:row>
    <x:row r="4">
      <x:c r="A4" s="77" t="str">
        <x:v>Total queue jobs</x:v>
      </x:c>
      <x:c r="B4" s="78" t="n">
        <x:v>66</x:v>
      </x:c>
      <x:c r="C4" s="79" t="n">
        <x:f>COUNTA('jobs'!$B$2:$B$67)</x:f>
        <x:v>66</x:v>
      </x:c>
    </x:row>
    <x:row r="5">
      <x:c r="A5" s="77" t="str">
        <x:v>Character concepts</x:v>
      </x:c>
      <x:c r="B5" s="78" t="n">
        <x:v>6</x:v>
      </x:c>
      <x:c r="C5" s="79" t="n">
        <x:f>COUNTIF('manifest'!$C$2:$C$67,"CHARACTER_CONCEPT")</x:f>
        <x:v>6</x:v>
      </x:c>
    </x:row>
    <x:row r="6">
      <x:c r="A6" s="77" t="str">
        <x:v>Storyboard jobs</x:v>
      </x:c>
      <x:c r="B6" s="78" t="n">
        <x:v>60</x:v>
      </x:c>
      <x:c r="C6" s="79" t="n">
        <x:f>COUNTIF('manifest'!$C$2:$C$67,"STORYBOARD")</x:f>
        <x:v>60</x:v>
      </x:c>
    </x:row>
    <x:row r="7">
      <x:c r="A7" s="77" t="str">
        <x:v>Source videos</x:v>
      </x:c>
      <x:c r="B7" s="78" t="n">
        <x:v>20</x:v>
      </x:c>
      <x:c r="C7" s="79" t="n">
        <x:f>COUNTA('source_map'!$A$2:$A$21)</x:f>
        <x:v>20</x:v>
      </x:c>
    </x:row>
    <x:row r="8">
      <x:c r="A8" s="77" t="str">
        <x:v>Frames per source</x:v>
      </x:c>
      <x:c r="B8" s="78" t="n">
        <x:v>3</x:v>
      </x:c>
      <x:c r="C8" s="79" t="str">
        <x:v>All source IDs validated</x:v>
      </x:c>
    </x:row>
    <x:row r="9">
      <x:c r="A9" s="77" t="str">
        <x:v>Canonical references</x:v>
      </x:c>
      <x:c r="B9" s="78" t="n">
        <x:v>4</x:v>
      </x:c>
      <x:c r="C9" s="79" t="n">
        <x:f>COUNTA('references'!$A$2:$A$5)</x:f>
        <x:v>4</x:v>
      </x:c>
    </x:row>
    <x:row r="10">
      <x:c r="A10" s="77" t="str">
        <x:v>Manifest PASS</x:v>
      </x:c>
      <x:c r="B10" s="78" t="n">
        <x:v>66</x:v>
      </x:c>
      <x:c r="C10" s="79" t="n">
        <x:f>COUNTIF('manifest'!$N$2:$N$67,"PASS")</x:f>
        <x:v>66</x:v>
      </x:c>
    </x:row>
    <x:row r="11">
      <x:c r="A11" s="80" t="str">
        <x:v>Source SHA-256</x:v>
      </x:c>
      <x:c r="B11" s="81" t="str">
        <x:v>F31E44F7785F68C5C4A6CAB52FBE708D201C5284DBB8CC919A6E014521BA4D8D</x:v>
      </x:c>
      <x:c r="C11" s="82" t="str">
        <x:v>F31E44F7785F68C5C4A6CAB52FBE708D201C5284DBB8CC919A6E014521BA4D8D</x:v>
      </x:c>
    </x:row>
  </x:sheetData>
  <x:mergeCells>
    <x:mergeCell ref="A1:C1"/>
  </x:mergeCells>
  <x:pageMargins left="0.7" right="0.7" top="0.75" bottom="0.75" header="0.3" footer="0.3"/>
</x:worksheet>
</file>