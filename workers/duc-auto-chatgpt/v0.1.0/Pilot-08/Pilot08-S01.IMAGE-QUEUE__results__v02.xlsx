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5420ddca39f49bc" /></Relationships>
</file>

<file path=xl/workbook.xml><?xml version="1.0" encoding="utf-8"?>
<x:workbook xmlns:x="http://schemas.openxmlformats.org/spreadsheetml/2006/main">
  <x:sheets>
    <x:sheet xmlns:r="http://schemas.openxmlformats.org/officeDocument/2006/relationships" name="jobs" sheetId="1" r:id="R80bb11482c0d4f12"/>
    <x:sheet xmlns:r="http://schemas.openxmlformats.org/officeDocument/2006/relationships" name="config" sheetId="2" r:id="Rf881f8984d874457"/>
    <x:sheet xmlns:r="http://schemas.openxmlformats.org/officeDocument/2006/relationships" name="README" sheetId="3" r:id="Re0980be053674f1d"/>
    <x:sheet xmlns:r="http://schemas.openxmlformats.org/officeDocument/2006/relationships" name="manifest" sheetId="4" r:id="R7bee09a198c64649"/>
    <x:sheet xmlns:r="http://schemas.openxmlformats.org/officeDocument/2006/relationships" name="source_map" sheetId="5" r:id="R0594d187a29f44fe"/>
    <x:sheet xmlns:r="http://schemas.openxmlformats.org/officeDocument/2006/relationships" name="references" sheetId="6" r:id="R3f1c0e0cc0484d23"/>
    <x:sheet xmlns:r="http://schemas.openxmlformats.org/officeDocument/2006/relationships" name="QC" sheetId="7" r:id="Rd37c226d5f284f33"/>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7">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5ca350082f54f9a" /><Relationship Type="http://schemas.openxmlformats.org/officeDocument/2006/relationships/theme" Target="/xl/theme/theme1.xml" Id="Rdc3a256f66b2423e" /><Relationship Type="http://schemas.openxmlformats.org/officeDocument/2006/relationships/sharedStrings" Target="/xl/sharedStrings.xml" Id="R6162c8d155a1494a" /><Relationship Type="http://schemas.openxmlformats.org/officeDocument/2006/relationships/worksheet" Target="/xl/worksheets/sheet1.xml" Id="R80bb11482c0d4f12" /><Relationship Type="http://schemas.openxmlformats.org/officeDocument/2006/relationships/worksheet" Target="/xl/worksheets/sheet2.xml" Id="Rf881f8984d874457" /><Relationship Type="http://schemas.openxmlformats.org/officeDocument/2006/relationships/worksheet" Target="/xl/worksheets/sheet3.xml" Id="Re0980be053674f1d" /><Relationship Type="http://schemas.openxmlformats.org/officeDocument/2006/relationships/worksheet" Target="/xl/worksheets/sheet4.xml" Id="R7bee09a198c64649" /><Relationship Type="http://schemas.openxmlformats.org/officeDocument/2006/relationships/worksheet" Target="/xl/worksheets/sheet5.xml" Id="R0594d187a29f44fe" /><Relationship Type="http://schemas.openxmlformats.org/officeDocument/2006/relationships/worksheet" Target="/xl/worksheets/sheet6.xml" Id="R3f1c0e0cc0484d23" /><Relationship Type="http://schemas.openxmlformats.org/officeDocument/2006/relationships/worksheet" Target="/xl/worksheets/sheet7.xml" Id="Rd37c226d5f284f33" /><Relationship Type="http://schemas.microsoft.com/office/2017/10/relationships/person" Target="/xl/persons/person.xml" Id="R998ab78557e8440e"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Pilot08JobsTable" displayName="Pilot08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Pilot08ConfigTable" displayName="Pilot08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Pilot08ManifestTable" displayName="Pilot08ManifestTable" ref="A1:M67" headerRowCount="1" totalsRowCount="0" totalsRowShown="0">
  <x:tableColumns count="13">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purpose"/>
    <x:tableColumn id="11" name="reference_images"/>
    <x:tableColumn id="12" name="expected_output_stem"/>
    <x:tableColumn id="13"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dce9123e373e4de5" /><Relationship Type="http://schemas.openxmlformats.org/officeDocument/2006/relationships/vmlDrawing" Target="/xl/drawings/vmldrawing.vml" Id="R301e8dea9cbc4c7e" /><Relationship Type="http://schemas.openxmlformats.org/officeDocument/2006/relationships/table" Target="/xl/tables/table1.xml" Id="Rddce4a53f965486f" /></Relationships>
</file>

<file path=xl/worksheets/_rels/sheet2.xml.rels>&#65279;<?xml version="1.0" encoding="utf-8"?><Relationships xmlns="http://schemas.openxmlformats.org/package/2006/relationships"><Relationship Type="http://schemas.openxmlformats.org/officeDocument/2006/relationships/comments" Target="/xl/comments2.xml" Id="R8f403cd277a141c8" /><Relationship Type="http://schemas.openxmlformats.org/officeDocument/2006/relationships/vmlDrawing" Target="/xl/drawings/vmldrawing2.vml" Id="R427d77f1a9374767" /><Relationship Type="http://schemas.openxmlformats.org/officeDocument/2006/relationships/table" Target="/xl/tables/table2.xml" Id="R88f7b13485724c6d" /></Relationships>
</file>

<file path=xl/worksheets/_rels/sheet4.xml.rels>&#65279;<?xml version="1.0" encoding="utf-8"?><Relationships xmlns="http://schemas.openxmlformats.org/package/2006/relationships"><Relationship Type="http://schemas.openxmlformats.org/officeDocument/2006/relationships/table" Target="/xl/tables/table3.xml" Id="R8310e1a84a774380"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36" hidden="0" customWidth="1"/>
    <x:col min="3" max="3" width="155" hidden="0" customWidth="1"/>
    <x:col min="4" max="4" width="50" hidden="0" customWidth="1"/>
  </x:cols>
  <x:sheetData>
    <x:row r="1" ht="28" customHeight="1">
      <x:c r="A1" s="12" t="str">
        <x:v>stt</x:v>
      </x:c>
      <x:c r="B1" s="13" t="str">
        <x:v>id</x:v>
      </x:c>
      <x:c r="C1" s="13" t="str">
        <x:v>prompt</x:v>
      </x:c>
      <x:c r="D1" s="14" t="str">
        <x:v>reference_images</x:v>
      </x:c>
      <x:c r="E1" t="inlineStr">
        <x:is>
          <x:t>run_id</x:t>
        </x:is>
      </x:c>
      <x:c r="F1" t="inlineStr">
        <x:is>
          <x:t>result_filename_pattern</x:t>
        </x:is>
      </x:c>
      <x:c r="G1" t="inlineStr">
        <x:is>
          <x:t>effective_source_workbook</x:t>
        </x:is>
      </x:c>
      <x:c r="H1" t="inlineStr">
        <x:is>
          <x:t>effective_image_output</x:t>
        </x:is>
      </x:c>
      <x:c r="I1" t="inlineStr">
        <x:is>
          <x:t>effective_result_xlsx</x:t>
        </x:is>
      </x:c>
      <x:c r="J1" t="inlineStr">
        <x:is>
          <x:t>effective_image_naming</x:t>
        </x:is>
      </x:c>
      <x:c r="K1" t="inlineStr">
        <x:is>
          <x:t>effective_collision_policy</x:t>
        </x:is>
      </x:c>
      <x:c r="L1" t="inlineStr">
        <x:is>
          <x:t>effective_save_images</x:t>
        </x:is>
      </x:c>
      <x:c r="M1" t="inlineStr">
        <x:is>
          <x:t>effective_save_result_xlsx</x:t>
        </x:is>
      </x:c>
      <x:c r="N1" t="inlineStr">
        <x:is>
          <x:t>effective_save_audit_jsonl</x:t>
        </x:is>
      </x:c>
      <x:c r="O1" t="inlineStr">
        <x:is>
          <x:t>effective_audit_log</x:t>
        </x:is>
      </x:c>
      <x:c r="P1" t="inlineStr">
        <x:is>
          <x:t>effective_timeout_sec</x:t>
        </x:is>
      </x:c>
      <x:c r="Q1" t="inlineStr">
        <x:is>
          <x:t>effective_max_retries</x:t>
        </x:is>
      </x:c>
      <x:c r="R1" t="inlineStr">
        <x:is>
          <x:t>effective_safety_cooldown_sec</x:t>
        </x:is>
      </x:c>
      <x:c r="S1" t="inlineStr">
        <x:is>
          <x:t>effective_max_input_images</x:t>
        </x:is>
      </x:c>
      <x:c r="T1" t="inlineStr">
        <x:is>
          <x:t>effective_continue_on_error</x:t>
        </x:is>
      </x:c>
      <x:c r="U1" t="inlineStr">
        <x:is>
          <x:t>effective_rerun_done</x:t>
        </x:is>
      </x:c>
      <x:c r="V1" t="inlineStr">
        <x:is>
          <x:t>status</x:t>
        </x:is>
      </x:c>
      <x:c r="W1" t="inlineStr">
        <x:is>
          <x:t>attempt_phase</x:t>
        </x:is>
      </x:c>
      <x:c r="X1" t="inlineStr">
        <x:is>
          <x:t>failure_type</x:t>
        </x:is>
      </x:c>
      <x:c r="Y1" t="inlineStr">
        <x:is>
          <x:t>last_error</x:t>
        </x:is>
      </x:c>
      <x:c r="Z1" t="inlineStr">
        <x:is>
          <x:t>error</x:t>
        </x:is>
      </x:c>
      <x:c r="AA1" t="inlineStr">
        <x:is>
          <x:t>attempt_id</x:t>
        </x:is>
      </x:c>
      <x:c r="AB1" t="inlineStr">
        <x:is>
          <x:t>attempt_count</x:t>
        </x:is>
      </x:c>
      <x:c r="AC1" t="inlineStr">
        <x:is>
          <x:t>retry_count</x:t>
        </x:is>
      </x:c>
      <x:c r="AD1" t="inlineStr">
        <x:is>
          <x:t>submitted_at</x:t>
        </x:is>
      </x:c>
      <x:c r="AE1" t="inlineStr">
        <x:is>
          <x:t>detection_diagnostics</x:t>
        </x:is>
      </x:c>
      <x:c r="AF1" t="inlineStr">
        <x:is>
          <x:t>requested_file</x:t>
        </x:is>
      </x:c>
      <x:c r="AG1" t="inlineStr">
        <x:is>
          <x:t>persistence_verified</x:t>
        </x:is>
      </x:c>
      <x:c r="AH1" t="inlineStr">
        <x:is>
          <x:t>detected_not_downloaded</x:t>
        </x:is>
      </x:c>
      <x:c r="AI1" t="inlineStr">
        <x:is>
          <x:t>result_file</x:t>
        </x:is>
      </x:c>
      <x:c r="AJ1" t="inlineStr">
        <x:is>
          <x:t>result_download_id</x:t>
        </x:is>
      </x:c>
      <x:c r="AK1" t="inlineStr">
        <x:is>
          <x:t>output_saved_at</x:t>
        </x:is>
      </x:c>
      <x:c r="AL1" t="inlineStr">
        <x:is>
          <x:t>write_outcome</x:t>
        </x:is>
      </x:c>
      <x:c r="AM1" t="inlineStr">
        <x:is>
          <x:t>completed_at</x:t>
        </x:is>
      </x:c>
    </x:row>
    <x:row r="2" ht="330" customHeight="1">
      <x:c r="A2" s="21" t="n">
        <x:v>1</x:v>
      </x:c>
      <x:c r="B2" s="22" t="str">
        <x:v>P08-S01-C01-MEO-FRONT</x:v>
      </x:c>
      <x:c r="C2" s="23" t="str">
        <x:v>Create a production-ready character concept image for Meo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Reference priority: use P08-S01-MEO-PRIMARY.REFERENCE.png as the primary face and twin-pigtail reference. Use P08-S01-MEO-SECONDARY.REFERENCE.png only to confirm facial identity. Identity references are not wardrobe references. Ignore and do not reproduce any blouse, skirt, dress, shoes, colors or accessories visible in either source image.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character, exact straight-on front view, feet fully visible, arms relaxed slightly away from the torso, neutral balanced pose, calm friendly expression, accurate five-year-old proportions, centered with generous margin around the silhouette.
Background and lighting: seamless pure white studio background, soft even shadow directly under the shoes, neutral softbox lighting, no environment and no props.
Wardrobe must be fully visible and reusable unchanged across the entire season.
Create exactly one image only. No collage, no split screen, no multi-panel layout, no turnaround sheet, no labels, no captions, no text, no logos, no watermark, no duplicate people, no extra characters, and no video.</x:v>
      </x:c>
      <x:c r="D2" s="24" t="str">
        <x:v>P08-S01-MEO-PRIMARY.REFERENCE.png|P08-S01-MEO-SECONDARY.REFERENCE.png</x:v>
      </x:c>
      <x:c r="E2" t="inlineStr">
        <x:is>
          <x:t>20260823-1738-pilot08-s01-image-queue</x:t>
        </x:is>
      </x:c>
      <x:c r="F2" t="inlineStr">
        <x:is>
          <x:t>Pilot08-S01.IMAGE-QUEUE__results__v{version}.xlsx</x:t>
        </x:is>
      </x:c>
      <x:c r="G2" t="inlineStr">
        <x:is>
          <x:t>Pilot08-S01.IMAGE-QUEUE__results__v01.xlsx</x:t>
        </x:is>
      </x:c>
      <x:c r="H2" t="inlineStr">
        <x:is>
          <x:t>Authorized folder handle: Pilot-08 (absolute path unavailable)</x:t>
        </x:is>
      </x:c>
      <x:c r="I2" t="inlineStr">
        <x:is>
          <x:t>Authorized folder handle: Pilot-08 (absolute path unavailable)/Pilot08-S01.IMAGE-QUEUE__results__v{version}.xlsx</x:t>
        </x:is>
      </x:c>
      <x:c r="J2" t="inlineStr">
        <x:is>
          <x:t>{job_id}</x:t>
        </x:is>
      </x:c>
      <x:c r="K2" t="inlineStr">
        <x:is>
          <x:t>uniquify</x:t>
        </x:is>
      </x:c>
      <x:c r="L2" t="inlineStr">
        <x:is>
          <x:t>true</x:t>
        </x:is>
      </x:c>
      <x:c r="M2" t="inlineStr">
        <x:is>
          <x:t>true</x:t>
        </x:is>
      </x:c>
      <x:c r="N2" t="inlineStr">
        <x:is>
          <x:t>true</x:t>
        </x:is>
      </x:c>
      <x:c r="O2" t="inlineStr">
        <x:is>
          <x:t/>
        </x:is>
      </x:c>
      <x:c r="P2" t="inlineStr">
        <x:is>
          <x:t>900</x:t>
        </x:is>
      </x:c>
      <x:c r="Q2" t="inlineStr">
        <x:is>
          <x:t>2</x:t>
        </x:is>
      </x:c>
      <x:c r="R2" t="inlineStr">
        <x:is>
          <x:t>8-12</x:t>
        </x:is>
      </x:c>
      <x:c r="S2" t="inlineStr">
        <x:is>
          <x:t>5</x:t>
        </x:is>
      </x:c>
      <x:c r="T2" t="inlineStr">
        <x:is>
          <x:t>false</x:t>
        </x:is>
      </x:c>
      <x:c r="U2" t="inlineStr">
        <x:is>
          <x:t>false</x:t>
        </x:is>
      </x:c>
      <x:c r="V2" t="inlineStr">
        <x:is>
          <x:t>SUCCESS</x:t>
        </x:is>
      </x:c>
      <x:c r="W2" t="inlineStr">
        <x:is>
          <x:t>SUCCESS</x:t>
        </x:is>
      </x:c>
      <x:c r="X2" t="inlineStr">
        <x:is>
          <x:t/>
        </x:is>
      </x:c>
      <x:c r="Y2" t="inlineStr">
        <x:is>
          <x:t/>
        </x:is>
      </x:c>
      <x:c r="Z2" t="inlineStr">
        <x:is>
          <x:t/>
        </x:is>
      </x:c>
      <x:c r="AA2" t="inlineStr">
        <x:is>
          <x:t>attempt-mt63cked-1-kbep6nai</x:t>
        </x:is>
      </x:c>
      <x:c r="AB2" t="inlineStr">
        <x:is>
          <x:t>1</x:t>
        </x:is>
      </x:c>
      <x:c r="AC2" t="inlineStr">
        <x:is>
          <x:t>0</x:t>
        </x:is>
      </x:c>
      <x:c r="AD2" t="inlineStr">
        <x:is>
          <x:t>2026-08-23T17:38:40.635Z</x:t>
        </x:is>
      </x:c>
      <x:c r="AE2" t="inlineStr">
        <x:is>
          <x:t>{"assistant_count_before":0,"assistant_node_ids":[],"assistant_fingerprints":[],"baseline_image_count":4,"baseline_source_ids":["abe5f0b2","abe5f0b2","e5ada6e2","84a77100"],"baseline_image_node_ids":["2d2e2954","302e2e0d","2f2e2c7a","2a2e249b"],"assistant_count_after":0,"new_assistant_fingerprints":[],"stop_visible":true,"generating":true,"candidate_counts":{"post_turn":{"total":0,"ready":0,"visible":0,"input":0,"eligible":0,"role":{"assistant":0,"user":0,"unknown":0}},"fresh":{"total":8,"ready":8,"visible":5,"input":2,"eligible":1,"role":{"assistant":0,"user":2,"unknown":6}}},"baseline_vs_fresh":{"baseline":4,"fresh":8},"chosen_attribution":"new_visible_fallback","decision_reason":null,"decision":{"post_turn":{"total":0,"ready":0,"visible":0,"input":0,"eligible":0,"role":{"assistant":0,"user":0,"unknown":0}},"post_turn_ids":[],"baseline_count":4,"fresh":{"total":8,"ready":8,"visible":5,"input":2,"eligible":1,"role":{"assistant":0,"user":2,"unknown":6}},"fresh_ids":[{"source_id":"9a723c33","node_id":"292e2308","role":"user","input":true,"visible":true,"ready":true},{"source_id":"e4dfced3","node_id":"2c2e27c1","role":"user","input":true,"visible":true,"ready":true},{"source_id":"1393caee","node_id":"2b2e262e","role":"unknown","input":false,"visible":true,"ready":true},{"source_id":"1393caee","node_id":"262e1e4f","role":"unknown","input":false,"visible":true,"ready":true},{"source_id":"1393caee","node_id":"252e1cbc","role":"unknown","input":false,"visible":true,"ready":true},{"source_id":"1393caee","node_id":"83ab286c","role":"unknown","input":false,"visible":false,"ready":true},{"source_id":"1393caee","node_id":"84ab29ff","role":"unknown","input":false,"visible":false,"ready":true},{"source_id":"1393caee","node_id":"85ab2b92","role":"unknown","input":false,"visible":false,"ready":true}],"rejection_reason":null,"chosen":{"source_id":"1393caee","node_id":"2b2e262e","role":"unknown","input":false,"visible":true,"ready":true}}}</x:t>
        </x:is>
      </x:c>
      <x:c r="AF2" t="inlineStr">
        <x:is>
          <x:t>P08-S01-C01-MEO-FRONT.png</x:t>
        </x:is>
      </x:c>
      <x:c r="AG2" t="inlineStr">
        <x:is>
          <x:t>true</x:t>
        </x:is>
      </x:c>
      <x:c r="AH2" t="inlineStr">
        <x:is>
          <x:t>false</x:t>
        </x:is>
      </x:c>
      <x:c r="AI2" t="inlineStr">
        <x:is>
          <x:t>Authorized folder handle: Pilot-08 (absolute path unavailable)/P08-S01-C01-MEO-FRONT.png</x:t>
        </x:is>
      </x:c>
      <x:c r="AJ2" t="inlineStr">
        <x:is>
          <x:t/>
        </x:is>
      </x:c>
      <x:c r="AK2" t="inlineStr">
        <x:is>
          <x:t>2026-08-23T17:39:54.169Z</x:t>
        </x:is>
      </x:c>
      <x:c r="AL2" t="inlineStr">
        <x:is>
          <x:t>written</x:t>
        </x:is>
      </x:c>
      <x:c r="AM2" t="inlineStr">
        <x:is>
          <x:t>2026-08-23T17:40:12.200Z</x:t>
        </x:is>
      </x:c>
    </x:row>
    <x:row r="3" ht="330" customHeight="1">
      <x:c r="A3" s="25" t="n">
        <x:v>2</x:v>
      </x:c>
      <x:c r="B3" s="26" t="str">
        <x:v>P08-S01-C02-MEO-SIDE</x:v>
      </x:c>
      <x:c r="C3" s="27" t="str">
        <x:v>Create a production-ready character concept image for Meo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Reference priority: use P08-S01-MEO-PRIMARY.REFERENCE.png as the primary face and twin-pigtail reference. Use P08-S01-MEO-SECONDARY.REFERENCE.png only to confirm facial identity. Identity references are not wardrobe references. Ignore and do not reproduce any clothing, shoes, colors or accessories visible in either source image.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character in an exact 90-degree left-facing side profile, feet fully visible and parallel, arms relaxed slightly away from the torso so the silhouette is readable, neutral balanced pose, calm friendly expression, accurate five-year-old proportions, centered with generous margin.
Preserve the same face shape, hairstyle, coral T-shirt, sea-green short-overall construction, flat pockets, closed fasteners, cuffed short legs, socks, sneakers and body proportions as the front concept. Show the pigtail placement and new explorer-clothing silhouette clearly from the side.
Background and lighting: seamless pure white studio background, soft even shadow directly under the shoes, neutral softbox lighting, no environment and no props.
Create exactly one image only. No collage, no split screen, no multi-panel layout, no turnaround sheet, no labels, no captions, no text, no logos, no watermark, no duplicate people, no extra characters, and no video.</x:v>
      </x:c>
      <x:c r="D3" s="28" t="str">
        <x:v>P08-S01-MEO-PRIMARY.REFERENCE.png|P08-S01-MEO-SECONDARY.REFERENCE.png</x:v>
      </x:c>
      <x:c r="E3" t="inlineStr">
        <x:is>
          <x:t>20260823-1738-pilot08-s01-image-queue</x:t>
        </x:is>
      </x:c>
      <x:c r="F3" t="inlineStr">
        <x:is>
          <x:t>Pilot08-S01.IMAGE-QUEUE__results__v{version}.xlsx</x:t>
        </x:is>
      </x:c>
      <x:c r="G3" t="inlineStr">
        <x:is>
          <x:t>Pilot08-S01.IMAGE-QUEUE__results__v01.xlsx</x:t>
        </x:is>
      </x:c>
      <x:c r="H3" t="inlineStr">
        <x:is>
          <x:t>Authorized folder handle: Pilot-08 (absolute path unavailable)</x:t>
        </x:is>
      </x:c>
      <x:c r="I3" t="inlineStr">
        <x:is>
          <x:t>Authorized folder handle: Pilot-08 (absolute path unavailable)/Pilot08-S01.IMAGE-QUEUE__results__v{version}.xlsx</x:t>
        </x:is>
      </x:c>
      <x:c r="J3" t="inlineStr">
        <x:is>
          <x:t>{job_id}</x:t>
        </x:is>
      </x:c>
      <x:c r="K3" t="inlineStr">
        <x:is>
          <x:t>uniquify</x:t>
        </x:is>
      </x:c>
      <x:c r="L3" t="inlineStr">
        <x:is>
          <x:t>true</x:t>
        </x:is>
      </x:c>
      <x:c r="M3" t="inlineStr">
        <x:is>
          <x:t>true</x:t>
        </x:is>
      </x:c>
      <x:c r="N3" t="inlineStr">
        <x:is>
          <x:t>true</x:t>
        </x:is>
      </x:c>
      <x:c r="O3" t="inlineStr">
        <x:is>
          <x:t/>
        </x:is>
      </x:c>
      <x:c r="P3" t="inlineStr">
        <x:is>
          <x:t>900</x:t>
        </x:is>
      </x:c>
      <x:c r="Q3" t="inlineStr">
        <x:is>
          <x:t>2</x:t>
        </x:is>
      </x:c>
      <x:c r="R3" t="inlineStr">
        <x:is>
          <x:t>8-12</x:t>
        </x:is>
      </x:c>
      <x:c r="S3" t="inlineStr">
        <x:is>
          <x:t>5</x:t>
        </x:is>
      </x:c>
      <x:c r="T3" t="inlineStr">
        <x:is>
          <x:t>false</x:t>
        </x:is>
      </x:c>
      <x:c r="U3" t="inlineStr">
        <x:is>
          <x:t>false</x:t>
        </x:is>
      </x:c>
      <x:c r="V3" t="inlineStr">
        <x:is>
          <x:t>SUCCESS</x:t>
        </x:is>
      </x:c>
      <x:c r="W3" t="inlineStr">
        <x:is>
          <x:t>SUCCESS</x:t>
        </x:is>
      </x:c>
      <x:c r="X3" t="inlineStr">
        <x:is>
          <x:t/>
        </x:is>
      </x:c>
      <x:c r="Y3" t="inlineStr">
        <x:is>
          <x:t/>
        </x:is>
      </x:c>
      <x:c r="Z3" t="inlineStr">
        <x:is>
          <x:t/>
        </x:is>
      </x:c>
      <x:c r="AA3" t="inlineStr">
        <x:is>
          <x:t>attempt-mt63fdsl-2-q97gq1ex</x:t>
        </x:is>
      </x:c>
      <x:c r="AB3" t="inlineStr">
        <x:is>
          <x:t>1</x:t>
        </x:is>
      </x:c>
      <x:c r="AC3" t="inlineStr">
        <x:is>
          <x:t>0</x:t>
        </x:is>
      </x:c>
      <x:c r="AD3" t="inlineStr">
        <x:is>
          <x:t>2026-08-23T17:40:52.171Z</x:t>
        </x:is>
      </x:c>
      <x:c r="AE3" t="inlineStr">
        <x:is>
          <x:t>{"assistant_count_before":0,"assistant_node_ids":[],"assistant_fingerprints":[],"baseline_image_count":9,"baseline_source_ids":["abe5f0b2","abe5f0b2","9a723c33","e4dfced3","1393caee","1393caee","1393caee","ea271fe2","48294fc2"],"baseline_image_node_ids":["2d2e2954","302e2e0d","292e2308","2c2e27c1","86ab2d25","7fab2220","80ab23b3","81ab2546","82ab26d9"],"assistant_count_after":0,"new_assistant_fingerprints":[],"stop_visible":true,"generating":true,"candidate_counts":{"post_turn":{"total":0,"ready":0,"visible":0,"input":0,"eligible":0,"role":{"assistant":0,"user":0,"unknown":0}},"fresh":{"total":6,"ready":6,"visible":3,"input":0,"eligible":1,"role":{"assistant":0,"user":0,"unknown":6}}},"baseline_vs_fresh":{"baseline":9,"fresh":6},"chosen_attribution":"new_visible_fallback","decision_reason":null,"decision":{"post_turn":{"total":0,"ready":0,"visible":0,"input":0,"eligible":0,"role":{"assistant":0,"user":0,"unknown":0}},"post_turn_ids":[],"baseline_count":9,"fresh":{"total":6,"ready":6,"visible":3,"input":0,"eligible":1,"role":{"assistant":0,"user":0,"unknown":6}},"fresh_ids":[{"source_id":"bc82cd92","node_id":"15b2ca07","role":"unknown","input":false,"visible":true,"ready":true},{"source_id":"bc82cd92","node_id":"14b2c874","role":"unknown","input":false,"visible":true,"ready":true},{"source_id":"bc82cd92","node_id":"17b2cd2d","role":"unknown","input":false,"visible":true,"ready":true},{"source_id":"bc82cd92","node_id":"16b2cb9a","role":"unknown","input":false,"visible":false,"ready":true},{"source_id":"bc82cd92","node_id":"11b2c3bb","role":"unknown","input":false,"visible":false,"ready":true},{"source_id":"bc82cd92","node_id":"10b2c228","role":"unknown","input":false,"visible":false,"ready":true}],"rejection_reason":null,"chosen":{"source_id":"bc82cd92","node_id":"15b2ca07","role":"unknown","input":false,"visible":true,"ready":true}}}</x:t>
        </x:is>
      </x:c>
      <x:c r="AF3" t="inlineStr">
        <x:is>
          <x:t>P08-S01-C02-MEO-SIDE.png</x:t>
        </x:is>
      </x:c>
      <x:c r="AG3" t="inlineStr">
        <x:is>
          <x:t>true</x:t>
        </x:is>
      </x:c>
      <x:c r="AH3" t="inlineStr">
        <x:is>
          <x:t>false</x:t>
        </x:is>
      </x:c>
      <x:c r="AI3" t="inlineStr">
        <x:is>
          <x:t>Authorized folder handle: Pilot-08 (absolute path unavailable)/P08-S01-C02-MEO-SIDE.png</x:t>
        </x:is>
      </x:c>
      <x:c r="AJ3" t="inlineStr">
        <x:is>
          <x:t/>
        </x:is>
      </x:c>
      <x:c r="AK3" t="inlineStr">
        <x:is>
          <x:t>2026-08-23T17:41:45.134Z</x:t>
        </x:is>
      </x:c>
      <x:c r="AL3" t="inlineStr">
        <x:is>
          <x:t>written</x:t>
        </x:is>
      </x:c>
      <x:c r="AM3" t="inlineStr">
        <x:is>
          <x:t>2026-08-23T17:42:05.058Z</x:t>
        </x:is>
      </x:c>
    </x:row>
    <x:row r="4" ht="330" customHeight="1">
      <x:c r="A4" s="25" t="n">
        <x:v>3</x:v>
      </x:c>
      <x:c r="B4" s="26" t="str">
        <x:v>P08-S01-C03-BO-FRONT</x:v>
      </x:c>
      <x:c r="C4" s="27" t="str">
        <x:v>Create a production-ready character concept image for Bố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P08-S01-BO-FRONT.REFERENCE.jpg as the primary front-face and glasses reference. Use P08-S01-BO-SIDE.REFERENCE.jpg to preserve the side-parted hair, profile and glasses geometry. Identity references are not wardrobe references. Ignore and do not reproduce the navy polo, trousers, shoes or any other clothing visible in the photos.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adult father, exact straight-on front view, feet fully visible, arms relaxed slightly away from the torso, natural upright posture, warm dependable expression, centered with generous margin around the silhouette.
Wardrobe must be fully visible and reusable unchanged across the entire season. Render only the new ochre utility overshirt, ivory T-shirt, deep-teal utility trousers and cream-and-rust sneakers specified in the written lock.
Background and lighting: seamless pure white studio background, soft even shadow directly under the shoes, neutral softbox lighting, no environment and no props.
Create exactly one image only. No collage, no split screen, no multi-panel layout, no turnaround sheet, no labels, no captions, no text, no logos, no watermark, no duplicate people, no extra characters, and no video.</x:v>
      </x:c>
      <x:c r="D4" s="28" t="str">
        <x:v>P08-S01-BO-FRONT.REFERENCE.jpg|P08-S01-BO-SIDE.REFERENCE.jpg</x:v>
      </x:c>
      <x:c r="E4" t="inlineStr">
        <x:is>
          <x:t>20260823-1738-pilot08-s01-image-queue</x:t>
        </x:is>
      </x:c>
      <x:c r="F4" t="inlineStr">
        <x:is>
          <x:t>Pilot08-S01.IMAGE-QUEUE__results__v{version}.xlsx</x:t>
        </x:is>
      </x:c>
      <x:c r="G4" t="inlineStr">
        <x:is>
          <x:t>Pilot08-S01.IMAGE-QUEUE__results__v01.xlsx</x:t>
        </x:is>
      </x:c>
      <x:c r="H4" t="inlineStr">
        <x:is>
          <x:t>Authorized folder handle: Pilot-08 (absolute path unavailable)</x:t>
        </x:is>
      </x:c>
      <x:c r="I4" t="inlineStr">
        <x:is>
          <x:t>Authorized folder handle: Pilot-08 (absolute path unavailable)/Pilot08-S01.IMAGE-QUEUE__results__v{version}.xlsx</x:t>
        </x:is>
      </x:c>
      <x:c r="J4" t="inlineStr">
        <x:is>
          <x:t>{job_id}</x:t>
        </x:is>
      </x:c>
      <x:c r="K4" t="inlineStr">
        <x:is>
          <x:t>uniquify</x:t>
        </x:is>
      </x:c>
      <x:c r="L4" t="inlineStr">
        <x:is>
          <x:t>true</x:t>
        </x:is>
      </x:c>
      <x:c r="M4" t="inlineStr">
        <x:is>
          <x:t>true</x:t>
        </x:is>
      </x:c>
      <x:c r="N4" t="inlineStr">
        <x:is>
          <x:t>true</x:t>
        </x:is>
      </x:c>
      <x:c r="O4" t="inlineStr">
        <x:is>
          <x:t/>
        </x:is>
      </x:c>
      <x:c r="P4" t="inlineStr">
        <x:is>
          <x:t>900</x:t>
        </x:is>
      </x:c>
      <x:c r="Q4" t="inlineStr">
        <x:is>
          <x:t>2</x:t>
        </x:is>
      </x:c>
      <x:c r="R4" t="inlineStr">
        <x:is>
          <x:t>8-12</x:t>
        </x:is>
      </x:c>
      <x:c r="S4" t="inlineStr">
        <x:is>
          <x:t>5</x:t>
        </x:is>
      </x:c>
      <x:c r="T4" t="inlineStr">
        <x:is>
          <x:t>false</x:t>
        </x:is>
      </x:c>
      <x:c r="U4" t="inlineStr">
        <x:is>
          <x:t>false</x:t>
        </x:is>
      </x:c>
      <x:c r="V4" t="inlineStr">
        <x:is>
          <x:t>SUCCESS</x:t>
        </x:is>
      </x:c>
      <x:c r="W4" t="inlineStr">
        <x:is>
          <x:t>SUCCESS</x:t>
        </x:is>
      </x:c>
      <x:c r="X4" t="inlineStr">
        <x:is>
          <x:t/>
        </x:is>
      </x:c>
      <x:c r="Y4" t="inlineStr">
        <x:is>
          <x:t/>
        </x:is>
      </x:c>
      <x:c r="Z4" t="inlineStr">
        <x:is>
          <x:t/>
        </x:is>
      </x:c>
      <x:c r="AA4" t="inlineStr">
        <x:is>
          <x:t>attempt-mt63hpr5-3-hvxqeers</x:t>
        </x:is>
      </x:c>
      <x:c r="AB4" t="inlineStr">
        <x:is>
          <x:t>1</x:t>
        </x:is>
      </x:c>
      <x:c r="AC4" t="inlineStr">
        <x:is>
          <x:t>0</x:t>
        </x:is>
      </x:c>
      <x:c r="AD4" t="inlineStr">
        <x:is>
          <x:t>2026-08-23T17:42:41.076Z</x:t>
        </x:is>
      </x:c>
      <x:c r="AE4" t="inlineStr">
        <x:is>
          <x:t>{"assistant_count_before":0,"assistant_node_ids":[],"assistant_fingerprints":[],"baseline_image_count":14,"baseline_source_ids":["abe5f0b2","abe5f0b2","9a723c33","e4dfced3","1393caee","1393caee","1393caee","9a723c33","e4dfced3","bc82cd92","bc82cd92","bc82cd92","f85ae1f4","06f89796"],"baseline_image_node_ids":["2d2e2954","302e2e0d","292e2308","2c2e27c1","86ab2d25","7fab2220","80ab23b3","8bab3504","8cab3697","13b2c6e1","12b2c54e","0db2bd6f","0cb2bbdc","8fafb87e"],"assistant_count_after":0,"new_assistant_fingerprints":[],"stop_visible":true,"generating":true,"candidate_counts":{"post_turn":{"total":0,"ready":0,"visible":0,"input":0,"eligible":0,"role":{"assistant":0,"user":0,"unknown":0}},"fresh":{"total":8,"ready":8,"visible":5,"input":2,"eligible":1,"role":{"assistant":0,"user":2,"unknown":6}}},"baseline_vs_fresh":{"baseline":14,"fresh":8},"chosen_attribution":"new_visible_fallback","decision_reason":null,"decision":{"post_turn":{"total":0,"ready":0,"visible":0,"input":0,"eligible":0,"role":{"assistant":0,"user":0,"unknown":0}},"post_turn_ids":[],"baseline_count":14,"fresh":{"total":8,"ready":8,"visible":5,"input":2,"eligible":1,"role":{"assistant":0,"user":2,"unknown":6}},"fresh_ids":[{"source_id":"ce18858c","node_id":"90afba11","role":"user","input":true,"visible":true,"ready":true},{"source_id":"83026435","node_id":"8dafb558","role":"user","input":true,"visible":true,"ready":true},{"source_id":"9e925c61","node_id":"8eafb6eb","role":"unknown","input":false,"visible":true,"ready":true},{"source_id":"9e925c61","node_id":"93afbeca","role":"unknown","input":false,"visible":true,"ready":true},{"source_id":"9e925c61","node_id":"94afc05d","role":"unknown","input":false,"visible":true,"ready":true},{"source_id":"9e925c61","node_id":"91afbba4","role":"unknown","input":false,"visible":false,"ready":true},{"source_id":"9e925c61","node_id":"92afbd37","role":"unknown","input":false,"visible":false,"ready":true},{"source_id":"9e925c61","node_id":"87afabe6","role":"unknown","input":false,"visible":false,"ready":true}],"rejection_reason":null,"chosen":{"source_id":"9e925c61","node_id":"8eafb6eb","role":"unknown","input":false,"visible":true,"ready":true}}}</x:t>
        </x:is>
      </x:c>
      <x:c r="AF4" t="inlineStr">
        <x:is>
          <x:t>P08-S01-C03-BO-FRONT.png</x:t>
        </x:is>
      </x:c>
      <x:c r="AG4" t="inlineStr">
        <x:is>
          <x:t>true</x:t>
        </x:is>
      </x:c>
      <x:c r="AH4" t="inlineStr">
        <x:is>
          <x:t>false</x:t>
        </x:is>
      </x:c>
      <x:c r="AI4" t="inlineStr">
        <x:is>
          <x:t>Authorized folder handle: Pilot-08 (absolute path unavailable)/P08-S01-C03-BO-FRONT.png</x:t>
        </x:is>
      </x:c>
      <x:c r="AJ4" t="inlineStr">
        <x:is>
          <x:t/>
        </x:is>
      </x:c>
      <x:c r="AK4" t="inlineStr">
        <x:is>
          <x:t>2026-08-23T17:43:54.760Z</x:t>
        </x:is>
      </x:c>
      <x:c r="AL4" t="inlineStr">
        <x:is>
          <x:t>written</x:t>
        </x:is>
      </x:c>
      <x:c r="AM4" t="inlineStr">
        <x:is>
          <x:t>2026-08-23T17:44:15.940Z</x:t>
        </x:is>
      </x:c>
    </x:row>
    <x:row r="5" ht="330" customHeight="1">
      <x:c r="A5" s="25" t="n">
        <x:v>4</x:v>
      </x:c>
      <x:c r="B5" s="26" t="str">
        <x:v>P08-S01-C04-BO-SIDE</x:v>
      </x:c>
      <x:c r="C5" s="27" t="str">
        <x:v>Create a production-ready character concept image for Bố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P08-S01-BO-FRONT.REFERENCE.jpg as the primary face and glasses reference. Use P08-S01-BO-SIDE.REFERENCE.jpg as the exact side-profile and hair-direction reference. Identity references are not wardrobe references. Ignore and do not reproduce the navy polo or any other clothing visible in the photos.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adult father in an exact 90-degree left-facing side profile, feet fully visible and parallel, arms relaxed slightly away from the torso, natural upright posture, calm warm expression, centered with generous margin.
Preserve the same face, glasses, hair, ochre utility overshirt, ivory T-shirt, deep-teal utility trousers, cream-and-rust sneakers and body proportions as the front concept. Make the glasses temple, nose profile, side-parted hair and new maker-clothing silhouette clearly readable.
Background and lighting: seamless pure white studio background, soft even shadow directly under the shoes, neutral softbox lighting, no environment and no props.
Create exactly one image only. No collage, no split screen, no multi-panel layout, no turnaround sheet, no labels, no captions, no text, no logos, no watermark, no duplicate people, no extra characters, and no video.</x:v>
      </x:c>
      <x:c r="D5" s="28" t="str">
        <x:v>P08-S01-BO-FRONT.REFERENCE.jpg|P08-S01-BO-SIDE.REFERENCE.jpg</x:v>
      </x:c>
      <x:c r="E5" t="inlineStr">
        <x:is>
          <x:t>20260823-1738-pilot08-s01-image-queue</x:t>
        </x:is>
      </x:c>
      <x:c r="F5" t="inlineStr">
        <x:is>
          <x:t>Pilot08-S01.IMAGE-QUEUE__results__v{version}.xlsx</x:t>
        </x:is>
      </x:c>
      <x:c r="G5" t="inlineStr">
        <x:is>
          <x:t>Pilot08-S01.IMAGE-QUEUE__results__v01.xlsx</x:t>
        </x:is>
      </x:c>
      <x:c r="H5" t="inlineStr">
        <x:is>
          <x:t>Authorized folder handle: Pilot-08 (absolute path unavailable)</x:t>
        </x:is>
      </x:c>
      <x:c r="I5" t="inlineStr">
        <x:is>
          <x:t>Authorized folder handle: Pilot-08 (absolute path unavailable)/Pilot08-S01.IMAGE-QUEUE__results__v{version}.xlsx</x:t>
        </x:is>
      </x:c>
      <x:c r="J5" t="inlineStr">
        <x:is>
          <x:t>{job_id}</x:t>
        </x:is>
      </x:c>
      <x:c r="K5" t="inlineStr">
        <x:is>
          <x:t>uniquify</x:t>
        </x:is>
      </x:c>
      <x:c r="L5" t="inlineStr">
        <x:is>
          <x:t>true</x:t>
        </x:is>
      </x:c>
      <x:c r="M5" t="inlineStr">
        <x:is>
          <x:t>true</x:t>
        </x:is>
      </x:c>
      <x:c r="N5" t="inlineStr">
        <x:is>
          <x:t>true</x:t>
        </x:is>
      </x:c>
      <x:c r="O5" t="inlineStr">
        <x:is>
          <x:t/>
        </x:is>
      </x:c>
      <x:c r="P5" t="inlineStr">
        <x:is>
          <x:t>900</x:t>
        </x:is>
      </x:c>
      <x:c r="Q5" t="inlineStr">
        <x:is>
          <x:t>2</x:t>
        </x:is>
      </x:c>
      <x:c r="R5" t="inlineStr">
        <x:is>
          <x:t>8-12</x:t>
        </x:is>
      </x:c>
      <x:c r="S5" t="inlineStr">
        <x:is>
          <x:t>5</x:t>
        </x:is>
      </x:c>
      <x:c r="T5" t="inlineStr">
        <x:is>
          <x:t>false</x:t>
        </x:is>
      </x:c>
      <x:c r="U5" t="inlineStr">
        <x:is>
          <x:t>false</x:t>
        </x:is>
      </x:c>
      <x:c r="V5" t="inlineStr">
        <x:is>
          <x:t>SUCCESS</x:t>
        </x:is>
      </x:c>
      <x:c r="W5" t="inlineStr">
        <x:is>
          <x:t>SUCCESS</x:t>
        </x:is>
      </x:c>
      <x:c r="X5" t="inlineStr">
        <x:is>
          <x:t/>
        </x:is>
      </x:c>
      <x:c r="Y5" t="inlineStr">
        <x:is>
          <x:t/>
        </x:is>
      </x:c>
      <x:c r="Z5" t="inlineStr">
        <x:is>
          <x:t/>
        </x:is>
      </x:c>
      <x:c r="AA5" t="inlineStr">
        <x:is>
          <x:t>attempt-mt63kmn5-4-2wl85jqx</x:t>
        </x:is>
      </x:c>
      <x:c r="AB5" t="inlineStr">
        <x:is>
          <x:t>1</x:t>
        </x:is>
      </x:c>
      <x:c r="AC5" t="inlineStr">
        <x:is>
          <x:t>0</x:t>
        </x:is>
      </x:c>
      <x:c r="AD5" t="inlineStr">
        <x:is>
          <x:t>2026-08-23T17:44:56.852Z</x:t>
        </x:is>
      </x:c>
      <x:c r="AE5" t="inlineStr">
        <x:is>
          <x:t>{"assistant_count_before":0,"assistant_node_ids":[],"assistant_fingerprints":[],"baseline_image_count":19,"baseline_source_ids":["abe5f0b2","abe5f0b2","9a723c33","e4dfced3","1393caee","1393caee","1393caee","9a723c33","e4dfced3","bc82cd92","bc82cd92","bc82cd92","ce18858c","83026435","9e925c61","9e925c61","9e925c61","adcba143","f6f711e9"],"baseline_image_node_ids":["2d2e2954","302e2e0d","292e2308","2c2e27c1","86ab2d25","7fab2220","80ab23b3","8bab3504","8cab3697","13b2c6e1","12b2c54e","0db2bd6f","90afba11","8dafb558","88afad79","11a3b931","10a3b79e","0fa3b60b","0ea3b478"],"assistant_count_after":0,"new_assistant_fingerprints":[],"stop_visible":true,"generating":true,"candidate_counts":{"post_turn":{"total":0,"ready":0,"visible":0,"input":0,"eligible":0,"role":{"assistant":0,"user":0,"unknown":0}},"fresh":{"total":8,"ready":8,"visible":5,"input":2,"eligible":1,"role":{"assistant":0,"user":2,"unknown":6}}},"baseline_vs_fresh":{"baseline":19,"fresh":8},"chosen_attribution":"new_visible_fallback","decision_reason":null,"decision":{"post_turn":{"total":0,"ready":0,"visible":0,"input":0,"eligible":0,"role":{"assistant":0,"user":0,"unknown":0}},"post_turn_ids":[],"baseline_count":19,"fresh":{"total":8,"ready":8,"visible":5,"input":2,"eligible":1,"role":{"assistant":0,"user":2,"unknown":6}},"fresh_ids":[{"source_id":"8178fd82","node_id":"15a3bf7d","role":"user","input":true,"visible":true,"ready":true},{"source_id":"d2d94423","node_id":"14a3bdea","role":"user","input":true,"visible":true,"ready":true},{"source_id":"a2fba001","node_id":"13a3bc57","role":"unknown","input":false,"visible":true,"ready":true},{"source_id":"a2fba001","node_id":"12a3bac4","role":"unknown","input":false,"visible":true,"ready":true},{"source_id":"a2fba001","node_id":"09a3ac99","role":"unknown","input":false,"visible":true,"ready":true},{"source_id":"a2fba001","node_id":"08a3ab06","role":"unknown","input":false,"visible":false,"ready":true},{"source_id":"a2fba001","node_id":"0ba17128","role":"unknown","input":false,"visible":false,"ready":true},{"source_id":"a2fba001","node_id":"0ca172bb","role":"unknown","input":false,"visible":false,"ready":true}],"rejection_reason":null,"chosen":{"source_id":"a2fba001","node_id":"13a3bc57","role":"unknown","input":false,"visible":true,"ready":true}}}</x:t>
        </x:is>
      </x:c>
      <x:c r="AF5" t="inlineStr">
        <x:is>
          <x:t>P08-S01-C04-BO-SIDE.png</x:t>
        </x:is>
      </x:c>
      <x:c r="AG5" t="inlineStr">
        <x:is>
          <x:t>true</x:t>
        </x:is>
      </x:c>
      <x:c r="AH5" t="inlineStr">
        <x:is>
          <x:t>false</x:t>
        </x:is>
      </x:c>
      <x:c r="AI5" t="inlineStr">
        <x:is>
          <x:t>Authorized folder handle: Pilot-08 (absolute path unavailable)/P08-S01-C04-BO-SIDE.png</x:t>
        </x:is>
      </x:c>
      <x:c r="AJ5" t="inlineStr">
        <x:is>
          <x:t/>
        </x:is>
      </x:c>
      <x:c r="AK5" t="inlineStr">
        <x:is>
          <x:t>2026-08-23T17:46:11.684Z</x:t>
        </x:is>
      </x:c>
      <x:c r="AL5" t="inlineStr">
        <x:is>
          <x:t>written</x:t>
        </x:is>
      </x:c>
      <x:c r="AM5" t="inlineStr">
        <x:is>
          <x:t>2026-08-23T17:46:31.289Z</x:t>
        </x:is>
      </x:c>
    </x:row>
    <x:row r="6" ht="330" customHeight="1">
      <x:c r="A6" s="25" t="n">
        <x:v>5</x:v>
      </x:c>
      <x:c r="B6" s="26" t="str">
        <x:v>P08-S01-C05-DUO-FRONT</x:v>
      </x:c>
      <x:c r="C6" s="27" t="str">
        <x:v>Create a production-ready two-character relationship and scale concept image for Meo and Bố in Pilot 8, Season 1 Tiny World.
Polished cinematic 3D cartoon concept art for a warm child-friendly animated series, with rounded shapes, soft tactile materials, gentle global illumination, warm color harmony, expressive identity-faithful faces, and no photorealism.
Meo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Bố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Reference priority: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exactly two characters, both full-body and straight-on, standing naturally side by side on the same ground line, Bố on the left and Meo on the right, feet fully visible, arms relaxed, warm gentle expressions. Show the believable father-to-five-year-old height and proportion relationship without exaggeration.
Background and lighting: seamless pure white studio background, soft even shared ground shadow, neutral softbox lighting, no environment and no props.
Create exactly one image only. No collage, no split screen, no multi-panel layout, no turnaround sheet, no labels, no captions, no text, no logos, no watermark, no duplicate people, no extra characters, and no video.</x:v>
      </x:c>
      <x:c r="D6" s="28" t="str">
        <x:v>P08-S01-MEO-PRIMARY.REFERENCE.png|P08-S01-MEO-SECONDARY.REFERENCE.png|P08-S01-BO-FRONT.REFERENCE.jpg|P08-S01-BO-SIDE.REFERENCE.jpg</x:v>
      </x:c>
      <x:c r="E6" t="inlineStr">
        <x:is>
          <x:t>20260823-1738-pilot08-s01-image-queue</x:t>
        </x:is>
      </x:c>
      <x:c r="F6" t="inlineStr">
        <x:is>
          <x:t>Pilot08-S01.IMAGE-QUEUE__results__v{version}.xlsx</x:t>
        </x:is>
      </x:c>
      <x:c r="G6" t="inlineStr">
        <x:is>
          <x:t>Pilot08-S01.IMAGE-QUEUE__results__v01.xlsx</x:t>
        </x:is>
      </x:c>
      <x:c r="H6" t="inlineStr">
        <x:is>
          <x:t>Authorized folder handle: Pilot-08 (absolute path unavailable)</x:t>
        </x:is>
      </x:c>
      <x:c r="I6" t="inlineStr">
        <x:is>
          <x:t>Authorized folder handle: Pilot-08 (absolute path unavailable)/Pilot08-S01.IMAGE-QUEUE__results__v{version}.xlsx</x:t>
        </x:is>
      </x:c>
      <x:c r="J6" t="inlineStr">
        <x:is>
          <x:t>{job_id}</x:t>
        </x:is>
      </x:c>
      <x:c r="K6" t="inlineStr">
        <x:is>
          <x:t>uniquify</x:t>
        </x:is>
      </x:c>
      <x:c r="L6" t="inlineStr">
        <x:is>
          <x:t>true</x:t>
        </x:is>
      </x:c>
      <x:c r="M6" t="inlineStr">
        <x:is>
          <x:t>true</x:t>
        </x:is>
      </x:c>
      <x:c r="N6" t="inlineStr">
        <x:is>
          <x:t>true</x:t>
        </x:is>
      </x:c>
      <x:c r="O6" t="inlineStr">
        <x:is>
          <x:t/>
        </x:is>
      </x:c>
      <x:c r="P6" t="inlineStr">
        <x:is>
          <x:t>900</x:t>
        </x:is>
      </x:c>
      <x:c r="Q6" t="inlineStr">
        <x:is>
          <x:t>2</x:t>
        </x:is>
      </x:c>
      <x:c r="R6" t="inlineStr">
        <x:is>
          <x:t>8-12</x:t>
        </x:is>
      </x:c>
      <x:c r="S6" t="inlineStr">
        <x:is>
          <x:t>5</x:t>
        </x:is>
      </x:c>
      <x:c r="T6" t="inlineStr">
        <x:is>
          <x:t>false</x:t>
        </x:is>
      </x:c>
      <x:c r="U6" t="inlineStr">
        <x:is>
          <x:t>false</x:t>
        </x:is>
      </x:c>
      <x:c r="V6" t="inlineStr">
        <x:is>
          <x:t>SUCCESS</x:t>
        </x:is>
      </x:c>
      <x:c r="W6" t="inlineStr">
        <x:is>
          <x:t>SUCCESS</x:t>
        </x:is>
      </x:c>
      <x:c r="X6" t="inlineStr">
        <x:is>
          <x:t/>
        </x:is>
      </x:c>
      <x:c r="Y6" t="inlineStr">
        <x:is>
          <x:t/>
        </x:is>
      </x:c>
      <x:c r="Z6" t="inlineStr">
        <x:is>
          <x:t/>
        </x:is>
      </x:c>
      <x:c r="AA6" t="inlineStr">
        <x:is>
          <x:t>attempt-mt63nbas-5-rteqxkr6</x:t>
        </x:is>
      </x:c>
      <x:c r="AB6" t="inlineStr">
        <x:is>
          <x:t>1</x:t>
        </x:is>
      </x:c>
      <x:c r="AC6" t="inlineStr">
        <x:is>
          <x:t>0</x:t>
        </x:is>
      </x:c>
      <x:c r="AD6" t="inlineStr">
        <x:is>
          <x:t>2026-08-23T17:47:02.857Z</x:t>
        </x:is>
      </x:c>
      <x:c r="AE6" t="inlineStr">
        <x:is>
          <x:t>{"assistant_count_before":0,"assistant_node_ids":[],"assistant_fingerprints":[],"baseline_image_count":26,"baseline_source_ids":["abe5f0b2","abe5f0b2","9a723c33","e4dfced3","1393caee","1393caee","1393caee","9a723c33","e4dfced3","bc82cd92","bc82cd92","bc82cd92","ce18858c","83026435","9e925c61","9e925c61","9e925c61","8178fd82","d2d94423","a2fba001","a2fba001","a2fba001","5f58f0bc","76cd0a2b","1cd65ff0","7ecc8f2a"],"baseline_image_node_ids":["2d2e2954","302e2e0d","292e2308","2c2e27c1","86ab2d25","7fab2220","80ab23b3","8bab3504","8cab3697","13b2c6e1","12b2c54e","0db2bd6f","90afba11","8dafb558","88afad79","11a3b931","10a3b79e","15a3bf7d","14a3bdea","0da1744e","0ea175e1","0fa17774","10a17907","11a17a9a","12a17c2d","03a16490"],"assistant_count_after":0,"new_assistant_fingerprints":[],"stop_visible":true,"generating":true,"candidate_counts":{"post_turn":{"total":0,"ready":0,"visible":0,"input":0,"eligible":0,"role":{"assistant":0,"user":0,"unknown":0}},"fresh":{"total":8,"ready":8,"visible":5,"input":2,"eligible":1,"role":{"assistant":0,"user":2,"unknown":6}}},"baseline_vs_fresh":{"baseline":26,"fresh":8},"chosen_attribution":"new_visible_fallback","decision_reason":null,"decision":{"post_turn":{"total":0,"ready":0,"visible":0,"input":0,"eligible":0,"role":{"assistant":0,"user":0,"unknown":0}},"post_turn_ids":[],"baseline_count":26,"fresh":{"total":8,"ready":8,"visible":5,"input":2,"eligible":1,"role":{"assistant":0,"user":2,"unknown":6}},"fresh_ids":[{"source_id":"b6065acd","node_id":"7ca8ded0","role":"user","input":true,"visible":true,"ready":true},{"source_id":"7e4b86e0","node_id":"7fa8e389","role":"user","input":true,"visible":true,"ready":true},{"source_id":"1973f9b5","node_id":"7ea8e1f6","role":"unknown","input":false,"visible":true,"ready":true},{"source_id":"1973f9b5","node_id":"81a8e6af","role":"unknown","input":false,"visible":true,"ready":true},{"source_id":"1973f9b5","node_id":"80a8e51c","role":"unknown","input":false,"visible":true,"ready":true},{"source_id":"1973f9b5","node_id":"83a8e9d5","role":"unknown","input":false,"visible":false,"ready":true},{"source_id":"1973f9b5","node_id":"82a8e842","role":"unknown","input":false,"visible":false,"ready":true},{"source_id":"1973f9b5","node_id":"85a8ecfb","role":"unknown","input":false,"visible":false,"ready":true}],"rejection_reason":null,"chosen":{"source_id":"1973f9b5","node_id":"7ea8e1f6","role":"unknown","input":false,"visible":true,"ready":true}}}</x:t>
        </x:is>
      </x:c>
      <x:c r="AF6" t="inlineStr">
        <x:is>
          <x:t>P08-S01-C05-DUO-FRONT.png</x:t>
        </x:is>
      </x:c>
      <x:c r="AG6" t="inlineStr">
        <x:is>
          <x:t>true</x:t>
        </x:is>
      </x:c>
      <x:c r="AH6" t="inlineStr">
        <x:is>
          <x:t>false</x:t>
        </x:is>
      </x:c>
      <x:c r="AI6" t="inlineStr">
        <x:is>
          <x:t>Authorized folder handle: Pilot-08 (absolute path unavailable)/P08-S01-C05-DUO-FRONT.png</x:t>
        </x:is>
      </x:c>
      <x:c r="AJ6" t="inlineStr">
        <x:is>
          <x:t/>
        </x:is>
      </x:c>
      <x:c r="AK6" t="inlineStr">
        <x:is>
          <x:t>2026-08-23T17:48:19.096Z</x:t>
        </x:is>
      </x:c>
      <x:c r="AL6" t="inlineStr">
        <x:is>
          <x:t>written</x:t>
        </x:is>
      </x:c>
      <x:c r="AM6" t="inlineStr">
        <x:is>
          <x:t>2026-08-23T17:48:37.745Z</x:t>
        </x:is>
      </x:c>
    </x:row>
    <x:row r="7" ht="330" customHeight="1">
      <x:c r="A7" s="25" t="n">
        <x:v>6</x:v>
      </x:c>
      <x:c r="B7" s="26" t="str">
        <x:v>P08-S01-C06-DUO-THREEQ</x:v>
      </x:c>
      <x:c r="C7" s="27" t="str">
        <x:v>Create a production-ready two-character relationship concept image for Meo and Bố in Pilot 8, Season 1 Tiny World.
Polished cinematic 3D cartoon concept art for a warm child-friendly animated series, with rounded shapes, soft tactile materials, gentle global illumination, warm color harmony, expressive identity-faithful faces, and no photorealism.
Meo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Bố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Reference priority: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exactly two full-body characters in a clean three-quarter view, Bố on the left leaning slightly toward Meo, Meo on the right looking up at him, their nearest hands gently held in a calm teamwork pose. Keep both faces readable, feet fully visible, silhouettes separated and the believable father-to-five-year-old scale consistent with the front duo concept.
Background and lighting: seamless pure white studio background, soft even shared ground shadow, neutral softbox lighting, no environment and no props.
Create exactly one image only. No collage, no split screen, no multi-panel layout, no turnaround sheet, no labels, no captions, no text, no logos, no watermark, no duplicate people, no extra characters, and no video.</x:v>
      </x:c>
      <x:c r="D7" s="28" t="str">
        <x:v>P08-S01-MEO-PRIMARY.REFERENCE.png|P08-S01-MEO-SECONDARY.REFERENCE.png|P08-S01-BO-FRONT.REFERENCE.jpg|P08-S01-BO-SIDE.REFERENCE.jpg</x:v>
      </x:c>
      <x:c r="E7" t="inlineStr">
        <x:is>
          <x:t>20260823-1738-pilot08-s01-image-queue</x:t>
        </x:is>
      </x:c>
      <x:c r="F7" t="inlineStr">
        <x:is>
          <x:t>Pilot08-S01.IMAGE-QUEUE__results__v{version}.xlsx</x:t>
        </x:is>
      </x:c>
      <x:c r="G7" t="inlineStr">
        <x:is>
          <x:t>Pilot08-S01.IMAGE-QUEUE__results__v01.xlsx</x:t>
        </x:is>
      </x:c>
      <x:c r="H7" t="inlineStr">
        <x:is>
          <x:t>Authorized folder handle: Pilot-08 (absolute path unavailable)</x:t>
        </x:is>
      </x:c>
      <x:c r="I7" t="inlineStr">
        <x:is>
          <x:t>Authorized folder handle: Pilot-08 (absolute path unavailable)/Pilot08-S01.IMAGE-QUEUE__results__v{version}.xlsx</x:t>
        </x:is>
      </x:c>
      <x:c r="J7" t="inlineStr">
        <x:is>
          <x:t>{job_id}</x:t>
        </x:is>
      </x:c>
      <x:c r="K7" t="inlineStr">
        <x:is>
          <x:t>uniquify</x:t>
        </x:is>
      </x:c>
      <x:c r="L7" t="inlineStr">
        <x:is>
          <x:t>true</x:t>
        </x:is>
      </x:c>
      <x:c r="M7" t="inlineStr">
        <x:is>
          <x:t>true</x:t>
        </x:is>
      </x:c>
      <x:c r="N7" t="inlineStr">
        <x:is>
          <x:t>true</x:t>
        </x:is>
      </x:c>
      <x:c r="O7" t="inlineStr">
        <x:is>
          <x:t/>
        </x:is>
      </x:c>
      <x:c r="P7" t="inlineStr">
        <x:is>
          <x:t>900</x:t>
        </x:is>
      </x:c>
      <x:c r="Q7" t="inlineStr">
        <x:is>
          <x:t>2</x:t>
        </x:is>
      </x:c>
      <x:c r="R7" t="inlineStr">
        <x:is>
          <x:t>8-12</x:t>
        </x:is>
      </x:c>
      <x:c r="S7" t="inlineStr">
        <x:is>
          <x:t>5</x:t>
        </x:is>
      </x:c>
      <x:c r="T7" t="inlineStr">
        <x:is>
          <x:t>false</x:t>
        </x:is>
      </x:c>
      <x:c r="U7" t="inlineStr">
        <x:is>
          <x:t>false</x:t>
        </x:is>
      </x:c>
      <x:c r="V7" t="inlineStr">
        <x:is>
          <x:t>SUCCESS</x:t>
        </x:is>
      </x:c>
      <x:c r="W7" t="inlineStr">
        <x:is>
          <x:t>SUCCESS</x:t>
        </x:is>
      </x:c>
      <x:c r="X7" t="inlineStr">
        <x:is>
          <x:t/>
        </x:is>
      </x:c>
      <x:c r="Y7" t="inlineStr">
        <x:is>
          <x:t/>
        </x:is>
      </x:c>
      <x:c r="Z7" t="inlineStr">
        <x:is>
          <x:t/>
        </x:is>
      </x:c>
      <x:c r="AA7" t="inlineStr">
        <x:is>
          <x:t>attempt-mt63q9ey-6-9t0o9a86</x:t>
        </x:is>
      </x:c>
      <x:c r="AB7" t="inlineStr">
        <x:is>
          <x:t>1</x:t>
        </x:is>
      </x:c>
      <x:c r="AC7" t="inlineStr">
        <x:is>
          <x:t>0</x:t>
        </x:is>
      </x:c>
      <x:c r="AD7" t="inlineStr">
        <x:is>
          <x:t>2026-08-23T17:49:21.240Z</x:t>
        </x:is>
      </x:c>
      <x:c r="AE7" t="inlineStr">
        <x:is>
          <x:t>{"assistant_count_before":0,"assistant_node_ids":[],"assistant_fingerprints":[],"baseline_image_count":33,"baseline_source_ids":["abe5f0b2","abe5f0b2","9a723c33","e4dfced3","1393caee","1393caee","1393caee","9a723c33","e4dfced3","bc82cd92","bc82cd92","bc82cd92","ce18858c","83026435","9e925c61","9e925c61","9e925c61","8178fd82","d2d94423","a2fba001","a2fba001","a2fba001","9a723c33","e4dfced3","b6065acd","7e4b86e0","1973f9b5","1973f9b5","1973f9b5","affa6556","05a2dcf7","c335ae5d","bc632174"],"baseline_image_node_ids":["2d2e2954","302e2e0d","292e2308","2c2e27c1","86ab2d25","7fab2220","80ab23b3","8bab3504","8cab3697","13b2c6e1","12b2c54e","0db2bd6f","90afba11","8dafb558","88afad79","11a3b931","10a3b79e","15a3bf7d","14a3bdea","0da1744e","0ea175e1","0fa17774","04a16623","7da8e063","7ca8ded0","7fa8e389","84a8eb68","17a6013a","18a602cd","15a5fe14","16a5ffa7","13a5faee","14a5fc81"],"assistant_count_after":0,"new_assistant_fingerprints":[],"stop_visible":true,"generating":true,"candidate_counts":{"post_turn":{"total":0,"ready":0,"visible":0,"input":0,"eligible":0,"role":{"assistant":0,"user":0,"unknown":0}},"fresh":{"total":8,"ready":8,"visible":5,"input":2,"eligible":1,"role":{"assistant":0,"user":2,"unknown":6}}},"baseline_vs_fresh":{"baseline":33,"fresh":8},"chosen_attribution":"new_visible_fallback","decision_reason":null,"decision":{"post_turn":{"total":0,"ready":0,"visible":0,"input":0,"eligible":0,"role":{"assistant":0,"user":0,"unknown":0}},"post_turn_ids":[],"baseline_count":33,"fresh":{"total":8,"ready":8,"visible":5,"input":2,"eligible":1,"role":{"assistant":0,"user":2,"unknown":6}},"fresh_ids":[{"source_id":"0f1286b9","node_id":"0fa5f4a2","role":"user","input":true,"visible":true,"ready":true},{"source_id":"09ac3cda","node_id":"10a5f635","role":"user","input":true,"visible":true,"ready":true},{"source_id":"71a4d305","node_id":"999a01ed","role":"unknown","input":false,"visible":true,"ready":true},{"source_id":"71a4d305","node_id":"989a005a","role":"unknown","input":false,"visible":true,"ready":true},{"source_id":"71a4d305","node_id":"9799fec7","role":"unknown","input":false,"visible":true,"ready":true},{"source_id":"71a4d305","node_id":"9699fd34","role":"unknown","input":false,"visible":false,"ready":true},{"source_id":"71a4d305","node_id":"9599fba1","role":"unknown","input":false,"visible":false,"ready":true},{"source_id":"71a4d305","node_id":"9499fa0e","role":"unknown","input":false,"visible":false,"ready":true}],"rejection_reason":null,"chosen":{"source_id":"71a4d305","node_id":"999a01ed","role":"unknown","input":false,"visible":true,"ready":true}}}</x:t>
        </x:is>
      </x:c>
      <x:c r="AF7" t="inlineStr">
        <x:is>
          <x:t>P08-S01-C06-DUO-THREEQ.png</x:t>
        </x:is>
      </x:c>
      <x:c r="AG7" t="inlineStr">
        <x:is>
          <x:t>true</x:t>
        </x:is>
      </x:c>
      <x:c r="AH7" t="inlineStr">
        <x:is>
          <x:t>false</x:t>
        </x:is>
      </x:c>
      <x:c r="AI7" t="inlineStr">
        <x:is>
          <x:t>Authorized folder handle: Pilot-08 (absolute path unavailable)/P08-S01-C06-DUO-THREEQ.png</x:t>
        </x:is>
      </x:c>
      <x:c r="AJ7" t="inlineStr">
        <x:is>
          <x:t/>
        </x:is>
      </x:c>
      <x:c r="AK7" t="inlineStr">
        <x:is>
          <x:t>2026-08-23T17:51:03.561Z</x:t>
        </x:is>
      </x:c>
      <x:c r="AL7" t="inlineStr">
        <x:is>
          <x:t>written</x:t>
        </x:is>
      </x:c>
      <x:c r="AM7" t="inlineStr">
        <x:is>
          <x:t>2026-08-23T17:51:26.097Z</x:t>
        </x:is>
      </x:c>
    </x:row>
    <x:row r="8" ht="405" customHeight="1">
      <x:c r="A8" s="25" t="n">
        <x:v>7</x:v>
      </x:c>
      <x:c r="B8" s="26" t="str">
        <x:v>P08-S01-I001-S1-01A-F01</x:v>
      </x:c>
      <x:c r="C8" s="27" t="str">
        <x:v>Create a storyboard concept still for Pilot 8 source clip I001-S1-01A, story 1A.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playroom becomes enormous beyond the doorway. Giant wooden blocks, thick carpet fibers, a towering flower stem and a distant friendly ladybug establish miniature scale. The ladybug stays far away.
Exact frozen action for this frame: Bố kneels beside the padded door and pulls its soft frame handle. The door opens halfway, revealing the giant-scale world.
Show the opening physical state and every prop needed to understand the coming cause-and-effect.
Camera: adapt this approved moving-shot direction into one readable still composition: one medium-wide low-angle tracking shot following Meo and Bố toward a tiny rounded door beneath a toy planter. No cuts.
Visible physics/mechanism that must read correctly: pulling the door tightens the loop around the hinge tab; easing the frame backward reduces tension and creates slack that can slip free.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8" s="28" t="str">
        <x:v>P08-S01-MEO-PRIMARY.REFERENCE.png|P08-S01-MEO-SECONDARY.REFERENCE.png|P08-S01-BO-FRONT.REFERENCE.jpg|P08-S01-BO-SIDE.REFERENCE.jpg</x:v>
      </x:c>
      <x:c r="E8" t="inlineStr">
        <x:is>
          <x:t>20260823-1738-pilot08-s01-image-queue</x:t>
        </x:is>
      </x:c>
      <x:c r="F8" t="inlineStr">
        <x:is>
          <x:t>Pilot08-S01.IMAGE-QUEUE__results__v{version}.xlsx</x:t>
        </x:is>
      </x:c>
      <x:c r="G8" t="inlineStr">
        <x:is>
          <x:t>Pilot08-S01.IMAGE-QUEUE__results__v01.xlsx</x:t>
        </x:is>
      </x:c>
      <x:c r="H8" t="inlineStr">
        <x:is>
          <x:t>Authorized folder handle: Pilot-08 (absolute path unavailable)</x:t>
        </x:is>
      </x:c>
      <x:c r="I8" t="inlineStr">
        <x:is>
          <x:t>Authorized folder handle: Pilot-08 (absolute path unavailable)/Pilot08-S01.IMAGE-QUEUE__results__v{version}.xlsx</x:t>
        </x:is>
      </x:c>
      <x:c r="J8" t="inlineStr">
        <x:is>
          <x:t>{job_id}</x:t>
        </x:is>
      </x:c>
      <x:c r="K8" t="inlineStr">
        <x:is>
          <x:t>uniquify</x:t>
        </x:is>
      </x:c>
      <x:c r="L8" t="inlineStr">
        <x:is>
          <x:t>true</x:t>
        </x:is>
      </x:c>
      <x:c r="M8" t="inlineStr">
        <x:is>
          <x:t>true</x:t>
        </x:is>
      </x:c>
      <x:c r="N8" t="inlineStr">
        <x:is>
          <x:t>true</x:t>
        </x:is>
      </x:c>
      <x:c r="O8" t="inlineStr">
        <x:is>
          <x:t/>
        </x:is>
      </x:c>
      <x:c r="P8" t="inlineStr">
        <x:is>
          <x:t>900</x:t>
        </x:is>
      </x:c>
      <x:c r="Q8" t="inlineStr">
        <x:is>
          <x:t>2</x:t>
        </x:is>
      </x:c>
      <x:c r="R8" t="inlineStr">
        <x:is>
          <x:t>8-12</x:t>
        </x:is>
      </x:c>
      <x:c r="S8" t="inlineStr">
        <x:is>
          <x:t>5</x:t>
        </x:is>
      </x:c>
      <x:c r="T8" t="inlineStr">
        <x:is>
          <x:t>false</x:t>
        </x:is>
      </x:c>
      <x:c r="U8" t="inlineStr">
        <x:is>
          <x:t>false</x:t>
        </x:is>
      </x:c>
      <x:c r="V8" t="inlineStr">
        <x:is>
          <x:t>INTERRUPTED</x:t>
        </x:is>
      </x:c>
      <x:c r="W8" t="inlineStr">
        <x:is>
          <x:t>OUTPUT_SAVED</x:t>
        </x:is>
      </x:c>
      <x:c r="X8" t="inlineStr">
        <x:is>
          <x:t>SECURITY_HARD_STOP</x:t>
        </x:is>
      </x:c>
      <x:c r="Y8" t="inlineStr">
        <x:is>
          <x:t>HARD_STOP: ChatGPT receiver unavailable. Reload the ChatGPT tab once.</x:t>
        </x:is>
      </x:c>
      <x:c r="Z8" t="inlineStr">
        <x:is>
          <x:t>HARD_STOP: ChatGPT receiver unavailable. Reload the ChatGPT tab once.</x:t>
        </x:is>
      </x:c>
      <x:c r="AA8" t="inlineStr">
        <x:is>
          <x:t>attempt-mt63tvc6-7-2u1xdhqu</x:t>
        </x:is>
      </x:c>
      <x:c r="AB8" t="inlineStr">
        <x:is>
          <x:t>1</x:t>
        </x:is>
      </x:c>
      <x:c r="AC8" t="inlineStr">
        <x:is>
          <x:t>0</x:t>
        </x:is>
      </x:c>
      <x:c r="AD8" t="inlineStr">
        <x:is>
          <x:t>2026-08-23T17:52:09.308Z</x:t>
        </x:is>
      </x:c>
      <x:c r="AE8" t="inlineStr">
        <x:is>
          <x:t>{"assistant_count_before":0,"assistant_node_ids":[],"assistant_fingerprints":[],"baseline_image_count":40,"baseline_source_ids":["abe5f0b2","abe5f0b2","9a723c33","e4dfced3","1393caee","1393caee","1393caee","9a723c33","e4dfced3","bc82cd92","bc82cd92","bc82cd92","ce18858c","83026435","9e925c61","9e925c61","9e925c61","8178fd82","d2d94423","a2fba001","a2fba001","a2fba001","9a723c33","e4dfced3","b6065acd","7e4b86e0","1973f9b5","1973f9b5","1973f9b5","9a723c33","e4dfced3","0f1286b9","09ac3cda","71a4d305","71a4d305","71a4d305","dafae00a","4b980273","d434bc1f","dd9a5ea2"],"baseline_image_node_ids":["2d2e2954","302e2e0d","292e2308","2c2e27c1","86ab2d25","7fab2220","80ab23b3","8bab3504","8cab3697","13b2c6e1","12b2c54e","0db2bd6f","90afba11","8dafb558","88afad79","11a3b931","10a3b79e","15a3bf7d","14a3bdea","0da1744e","0ea175e1","0fa17774","04a16623","7da8e063","7ca8ded0","7fa8e389","84a8eb68","17a6013a","18a602cd","11a5f7c8","12a5f95b","0fa5f4a2","10a5f635","9399f87b","9299f6e8","9199f555","9099f3c2","1396f064","1496f1f7","1596f38a"],"assistant_count_after":0,"new_assistant_fingerprints":[],"stop_visible":true,"generating":true,"candidate_counts":{"post_turn":{"total":0,"ready":0,"visible":0,"input":0,"eligible":0,"role":{"assistant":0,"user":0,"unknown":0}},"fresh":{"total":5,"ready":5,"visible":5,"input":2,"eligible":1,"role":{"assistant":0,"user":2,"unknown":3}}},"baseline_vs_fresh":{"baseline":40,"fresh":5},"chosen_attribution":"new_visible_fallback","decision_reason":null,"decision":{"post_turn":{"total":0,"ready":0,"visible":0,"input":0,"eligible":0,"role":{"assistant":0,"user":0,"unknown":0}},"post_turn_ids":[],"baseline_count":40,"fresh":{"total":5,"ready":5,"visible":5,"input":2,"eligible":1,"role":{"assistant":0,"user":2,"unknown":3}},"fresh_ids":[{"source_id":"6dd521dc","node_id":"1096ebab","role":"user","input":true,"visible":true,"ready":true},{"source_id":"64a7da8c","node_id":"1196ed3e","role":"user","input":true,"visible":true,"ready":true},{"source_id":"77c79e17","node_id":"1296eed1","role":"unknown","input":false,"visible":true,"ready":true},{"source_id":"77c79e17","node_id":"0b96e3cc","role":"unknown","input":false,"visible":true,"ready":true},{"source_id":"77c79e17","node_id":"0c96e55f","role":"unknown","input":false,"visible":true,"ready":true}],"rejection_reason":null,"chosen":{"source_id":"77c79e17","node_id":"1296eed1","role":"unknown","input":false,"visible":true,"ready":true}}}</x:t>
        </x:is>
      </x:c>
      <x:c r="AF8" t="inlineStr">
        <x:is>
          <x:t>P08-S01-I001-S1-01A-F01.png</x:t>
        </x:is>
      </x:c>
      <x:c r="AG8" t="inlineStr">
        <x:is>
          <x:t>true</x:t>
        </x:is>
      </x:c>
      <x:c r="AH8" t="inlineStr">
        <x:is>
          <x:t>false</x:t>
        </x:is>
      </x:c>
      <x:c r="AI8" t="inlineStr">
        <x:is>
          <x:t>Authorized folder handle: Pilot-08 (absolute path unavailable)/P08-S01-I001-S1-01A-F01.png</x:t>
        </x:is>
      </x:c>
      <x:c r="AJ8" t="inlineStr">
        <x:is>
          <x:t/>
        </x:is>
      </x:c>
      <x:c r="AK8" t="inlineStr">
        <x:is>
          <x:t>2026-08-23T17:53:38.105Z</x:t>
        </x:is>
      </x:c>
      <x:c r="AL8" t="inlineStr">
        <x:is>
          <x:t>written</x:t>
        </x:is>
      </x:c>
      <x:c r="AM8" t="inlineStr">
        <x:is>
          <x:t>2026-08-23T17:57:56.718Z</x:t>
        </x:is>
      </x:c>
    </x:row>
    <x:row r="9" ht="405" customHeight="1">
      <x:c r="A9" s="25" t="n">
        <x:v>8</x:v>
      </x:c>
      <x:c r="B9" s="26" t="str">
        <x:v>P08-S01-I001-S1-01A-F02</x:v>
      </x:c>
      <x:c r="C9" s="27" t="str">
        <x:v>Create a storyboard concept still for Pilot 8 source clip I001-S1-01A, story 1A.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playroom becomes enormous beyond the doorway. Giant wooden blocks, thick carpet fibers, a towering flower stem and a distant friendly ladybug establish miniature scale. The ladybug stays far away.
Exact frozen action for this frame: the door stops because a loose felt fiber loop is wrapped around the lower hinge tab. Bố keeps the frame steady and tests the handle; the loop tightens when he pulls farther. Meo notices the fiber becomes slack when Bố eases the door back slightly. She points from the hinge tab to the loose side of the loop.
Freeze the clearest instant of the main cause-and-effect action. Make Meo's observation and Bố's indispensable physical action simultaneously readable.
Camera: adapt this approved moving-shot direction into one readable still composition: one medium-wide low-angle tracking shot following Meo and Bố toward a tiny rounded door beneath a toy planter. No cuts.
Visible physics/mechanism that must read correctly: pulling the door tightens the loop around the hinge tab; easing the frame backward reduces tension and creates slack that can slip free.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9" s="28" t="str">
        <x:v>P08-S01-MEO-PRIMARY.REFERENCE.png|P08-S01-MEO-SECONDARY.REFERENCE.png|P08-S01-BO-FRONT.REFERENCE.jpg|P08-S01-BO-SIDE.REFERENCE.jpg</x:v>
      </x:c>
      <x:c r="E9" t="inlineStr">
        <x:is>
          <x:t>20260823-1738-pilot08-s01-image-queue</x:t>
        </x:is>
      </x:c>
      <x:c r="F9" t="inlineStr">
        <x:is>
          <x:t>Pilot08-S01.IMAGE-QUEUE__results__v{version}.xlsx</x:t>
        </x:is>
      </x:c>
      <x:c r="G9" t="inlineStr">
        <x:is>
          <x:t>Pilot08-S01.IMAGE-QUEUE__results__v01.xlsx</x:t>
        </x:is>
      </x:c>
      <x:c r="H9" t="inlineStr">
        <x:is>
          <x:t>Authorized folder handle: Pilot-08 (absolute path unavailable)</x:t>
        </x:is>
      </x:c>
      <x:c r="I9" t="inlineStr">
        <x:is>
          <x:t>Authorized folder handle: Pilot-08 (absolute path unavailable)/Pilot08-S01.IMAGE-QUEUE__results__v{version}.xlsx</x:t>
        </x:is>
      </x:c>
      <x:c r="J9" t="inlineStr">
        <x:is>
          <x:t>{job_id}</x:t>
        </x:is>
      </x:c>
      <x:c r="K9" t="inlineStr">
        <x:is>
          <x:t>uniquify</x:t>
        </x:is>
      </x:c>
      <x:c r="L9" t="inlineStr">
        <x:is>
          <x:t>true</x:t>
        </x:is>
      </x:c>
      <x:c r="M9" t="inlineStr">
        <x:is>
          <x:t>true</x:t>
        </x:is>
      </x:c>
      <x:c r="N9" t="inlineStr">
        <x:is>
          <x:t>true</x:t>
        </x:is>
      </x:c>
      <x:c r="O9" t="inlineStr">
        <x:is>
          <x:t/>
        </x:is>
      </x:c>
      <x:c r="P9" t="inlineStr">
        <x:is>
          <x:t>900</x:t>
        </x:is>
      </x:c>
      <x:c r="Q9" t="inlineStr">
        <x:is>
          <x:t>2</x:t>
        </x:is>
      </x:c>
      <x:c r="R9" t="inlineStr">
        <x:is>
          <x:t>8-12</x:t>
        </x:is>
      </x:c>
      <x:c r="S9" t="inlineStr">
        <x:is>
          <x:t>5</x:t>
        </x:is>
      </x:c>
      <x:c r="T9" t="inlineStr">
        <x:is>
          <x:t>false</x:t>
        </x:is>
      </x:c>
      <x:c r="U9" t="inlineStr">
        <x:is>
          <x:t>false</x:t>
        </x:is>
      </x:c>
    </x:row>
    <x:row r="10" ht="405" customHeight="1">
      <x:c r="A10" s="25" t="n">
        <x:v>9</x:v>
      </x:c>
      <x:c r="B10" s="26" t="str">
        <x:v>P08-S01-I001-S1-01A-F03</x:v>
      </x:c>
      <x:c r="C10" s="27" t="str">
        <x:v>Create a storyboard concept still for Pilot 8 source clip I001-S1-01A, story 1A.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playroom becomes enormous beyond the doorway. Giant wooden blocks, thick carpet fibers, a towering flower stem and a distant friendly ladybug establish miniature scale. The ladybug stays far away.
Exact frozen action for this frame: Meo touches the safe fabric loop and traces the direction it could slide free. Bố holds the door at the slack position. the doorway remains half open, with the loop still caught but visibly loose. The enormous flower stem and toy blocks wait beyond. End unresolved.
Preserve the visibly unresolved Part A end state; do not solve the problem early.
Camera: adapt this approved moving-shot direction into one readable still composition: one medium-wide low-angle tracking shot following Meo and Bố toward a tiny rounded door beneath a toy planter. No cuts.
Visible physics/mechanism that must read correctly: pulling the door tightens the loop around the hinge tab; easing the frame backward reduces tension and creates slack that can slip free.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0" s="28" t="str">
        <x:v>P08-S01-MEO-PRIMARY.REFERENCE.png|P08-S01-MEO-SECONDARY.REFERENCE.png|P08-S01-BO-FRONT.REFERENCE.jpg|P08-S01-BO-SIDE.REFERENCE.jpg</x:v>
      </x:c>
      <x:c r="E10" t="inlineStr">
        <x:is>
          <x:t>20260823-1738-pilot08-s01-image-queue</x:t>
        </x:is>
      </x:c>
      <x:c r="F10" t="inlineStr">
        <x:is>
          <x:t>Pilot08-S01.IMAGE-QUEUE__results__v{version}.xlsx</x:t>
        </x:is>
      </x:c>
      <x:c r="G10" t="inlineStr">
        <x:is>
          <x:t>Pilot08-S01.IMAGE-QUEUE__results__v01.xlsx</x:t>
        </x:is>
      </x:c>
      <x:c r="H10" t="inlineStr">
        <x:is>
          <x:t>Authorized folder handle: Pilot-08 (absolute path unavailable)</x:t>
        </x:is>
      </x:c>
      <x:c r="I10" t="inlineStr">
        <x:is>
          <x:t>Authorized folder handle: Pilot-08 (absolute path unavailable)/Pilot08-S01.IMAGE-QUEUE__results__v{version}.xlsx</x:t>
        </x:is>
      </x:c>
      <x:c r="J10" t="inlineStr">
        <x:is>
          <x:t>{job_id}</x:t>
        </x:is>
      </x:c>
      <x:c r="K10" t="inlineStr">
        <x:is>
          <x:t>uniquify</x:t>
        </x:is>
      </x:c>
      <x:c r="L10" t="inlineStr">
        <x:is>
          <x:t>true</x:t>
        </x:is>
      </x:c>
      <x:c r="M10" t="inlineStr">
        <x:is>
          <x:t>true</x:t>
        </x:is>
      </x:c>
      <x:c r="N10" t="inlineStr">
        <x:is>
          <x:t>true</x:t>
        </x:is>
      </x:c>
      <x:c r="O10" t="inlineStr">
        <x:is>
          <x:t/>
        </x:is>
      </x:c>
      <x:c r="P10" t="inlineStr">
        <x:is>
          <x:t>900</x:t>
        </x:is>
      </x:c>
      <x:c r="Q10" t="inlineStr">
        <x:is>
          <x:t>2</x:t>
        </x:is>
      </x:c>
      <x:c r="R10" t="inlineStr">
        <x:is>
          <x:t>8-12</x:t>
        </x:is>
      </x:c>
      <x:c r="S10" t="inlineStr">
        <x:is>
          <x:t>5</x:t>
        </x:is>
      </x:c>
      <x:c r="T10" t="inlineStr">
        <x:is>
          <x:t>false</x:t>
        </x:is>
      </x:c>
      <x:c r="U10" t="inlineStr">
        <x:is>
          <x:t>false</x:t>
        </x:is>
      </x:c>
      <x:c r="V10" t="inlineStr">
        <x:is>
          <x:t>SUCCESS</x:t>
        </x:is>
      </x:c>
      <x:c r="W10" t="inlineStr">
        <x:is>
          <x:t>SUCCESS</x:t>
        </x:is>
      </x:c>
      <x:c r="X10" t="inlineStr">
        <x:is>
          <x:t/>
        </x:is>
      </x:c>
      <x:c r="Y10" t="inlineStr">
        <x:is>
          <x:t/>
        </x:is>
      </x:c>
      <x:c r="Z10" t="inlineStr">
        <x:is>
          <x:t/>
        </x:is>
      </x:c>
      <x:c r="AA10" t="inlineStr">
        <x:is>
          <x:t>attempt-mt646i5a-1-cz9fwlcx</x:t>
        </x:is>
      </x:c>
      <x:c r="AB10" t="inlineStr">
        <x:is>
          <x:t>1</x:t>
        </x:is>
      </x:c>
      <x:c r="AC10" t="inlineStr">
        <x:is>
          <x:t>0</x:t>
        </x:is>
      </x:c>
      <x:c r="AD10" t="inlineStr">
        <x:is>
          <x:t>2026-08-23T18:01:58.332Z</x:t>
        </x:is>
      </x:c>
      <x:c r="AE10" t="inlineStr">
        <x:is>
          <x:t>{"assistant_count_before":0,"assistant_node_ids":[],"assistant_fingerprints":[],"baseline_image_count":44,"baseline_source_ids":["abe5f0b2","abe5f0b2","ce18858c","83026435","9e925c61","9e925c61","9e925c61","8178fd82","d2d94423","a2fba001","a2fba001","a2fba001","9a723c33","e4dfced3","b6065acd","7e4b86e0","1973f9b5","1973f9b5","1973f9b5","9a723c33","e4dfced3","0f1286b9","09ac3cda","71a4d305","71a4d305","71a4d305","9a723c33","e4dfced3","6dd521dc","64a7da8c","77c79e17","77c79e17","77c79e17","c0224c90","9c4359ab","24fa3670","e652cf61","fbf5a20a","fbf5a20a","fbf5a20a","873863d7","f55dc9f3","b5d7fd7c","e490553b"],"baseline_image_node_ids":["2d2e2954","302e2e0d","2f2e2c7a","2a2e249b","292e2308","2c2e27c1","2b2e262e","262e1e4f","252e1cbc","83ab286c","84ab29ff","85ab2b92","86ab2d25","7fab2220","80ab23b3","81ab2546","82ab26d9","8bab3504","8cab3697","15b2ca07","14b2c874","17b2cd2d","16b2cb9a","11b2c3bb","10b2c228","13b2c6e1","12b2c54e","0db2bd6f","0cb2bbdc","8fafb87e","90afba11","8dafb558","8eafb6eb","93afbeca","94afc05d","91afbba4","92afbd37","87afabe6","88afad79","11a3b931","10a3b79e","0fa3b60b","0ea3b478","15a3bf7d"],"assistant_count_after":0,"new_assistant_fingerprints":[],"stop_visible":true,"generating":true,"candidate_counts":{"post_turn":{"total":0,"ready":0,"visible":0,"input":0,"eligible":0,"role":{"assistant":0,"user":0,"unknown":0}},"fresh":{"total":5,"ready":5,"visible":5,"input":2,"eligible":1,"role":{"assistant":0,"user":2,"unknown":3}}},"baseline_vs_fresh":{"baseline":44,"fresh":5},"chosen_attribution":"new_visible_fallback","decision_reason":null,"decision":{"post_turn":{"total":0,"ready":0,"visible":0,"input":0,"eligible":0,"role":{"assistant":0,"user":0,"unknown":0}},"post_turn_ids":[],"baseline_count":44,"fresh":{"total":5,"ready":5,"visible":5,"input":2,"eligible":1,"role":{"assistant":0,"user":2,"unknown":3}},"fresh_ids":[{"source_id":"eef810bb","node_id":"12a3bac4","role":"user","input":true,"visible":true,"ready":true},{"source_id":"03cc3b45","node_id":"09a3ac99","role":"user","input":true,"visible":true,"ready":true},{"source_id":"f3061e53","node_id":"08a3ab06","role":"unknown","input":false,"visible":true,"ready":true},{"source_id":"f3061e53","node_id":"0ba17128","role":"unknown","input":false,"visible":true,"ready":true},{"source_id":"f3061e53","node_id":"0ca172bb","role":"unknown","input":false,"visible":true,"ready":true}],"rejection_reason":null,"chosen":{"source_id":"f3061e53","node_id":"08a3ab06","role":"unknown","input":false,"visible":true,"ready":true}}}</x:t>
        </x:is>
      </x:c>
      <x:c r="AF10" t="inlineStr">
        <x:is>
          <x:t>P08-S01-I001-S1-01A-F03.png</x:t>
        </x:is>
      </x:c>
      <x:c r="AG10" t="inlineStr">
        <x:is>
          <x:t>true</x:t>
        </x:is>
      </x:c>
      <x:c r="AH10" t="inlineStr">
        <x:is>
          <x:t>false</x:t>
        </x:is>
      </x:c>
      <x:c r="AI10" t="inlineStr">
        <x:is>
          <x:t>Authorized folder handle: Pilot-08 (absolute path unavailable)/P08-S01-I001-S1-01A-F03.png</x:t>
        </x:is>
      </x:c>
      <x:c r="AJ10" t="inlineStr">
        <x:is>
          <x:t/>
        </x:is>
      </x:c>
      <x:c r="AK10" t="inlineStr">
        <x:is>
          <x:t>2026-08-23T18:03:10.404Z</x:t>
        </x:is>
      </x:c>
      <x:c r="AL10" t="inlineStr">
        <x:is>
          <x:t>written</x:t>
        </x:is>
      </x:c>
      <x:c r="AM10" t="inlineStr">
        <x:is>
          <x:t>2026-08-23T18:03:28.177Z</x:t>
        </x:is>
      </x:c>
    </x:row>
    <x:row r="11" ht="405" customHeight="1">
      <x:c r="A11" s="25" t="n">
        <x:v>10</x:v>
      </x:c>
      <x:c r="B11" s="26" t="str">
        <x:v>P08-S01-I001-S1-01B-F01</x:v>
      </x:c>
      <x:c r="C11" s="27" t="str">
        <x:v>Create a storyboard concept still for Pilot 8 source clip I001-S1-01B, story 1B.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padded door is half open beneath the toy planter. A felt loop remains caught around the lower hinge tab but is slack. Bố holds the frame eased back. Meo stands beside it.
Exact frozen action for this frame: Meo points along the slack side of the fiber. Bố keeps the door still so the loop stays loose.
Show the opening physical state and every prop needed to understand the coming cause-and-effect.
Camera: adapt this approved moving-shot direction into one readable still composition: one medium-wide continuity shot from the same low angle, keeping the half-open door, loose felt loop and giant world visible. No cuts.
Visible physics/mechanism that must read correctly: removing the slack loop frees the hinge; with no fiber catching the tab, the door rotates smoothly through its full arc.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1" s="28" t="str">
        <x:v>P08-S01-MEO-PRIMARY.REFERENCE.png|P08-S01-MEO-SECONDARY.REFERENCE.png|P08-S01-BO-FRONT.REFERENCE.jpg|P08-S01-BO-SIDE.REFERENCE.jpg</x:v>
      </x:c>
      <x:c r="E11" t="inlineStr">
        <x:is>
          <x:t>20260823-1738-pilot08-s01-image-queue</x:t>
        </x:is>
      </x:c>
      <x:c r="F11" t="inlineStr">
        <x:is>
          <x:t>Pilot08-S01.IMAGE-QUEUE__results__v{version}.xlsx</x:t>
        </x:is>
      </x:c>
      <x:c r="G11" t="inlineStr">
        <x:is>
          <x:t>Pilot08-S01.IMAGE-QUEUE__results__v01.xlsx</x:t>
        </x:is>
      </x:c>
      <x:c r="H11" t="inlineStr">
        <x:is>
          <x:t>Authorized folder handle: Pilot-08 (absolute path unavailable)</x:t>
        </x:is>
      </x:c>
      <x:c r="I11" t="inlineStr">
        <x:is>
          <x:t>Authorized folder handle: Pilot-08 (absolute path unavailable)/Pilot08-S01.IMAGE-QUEUE__results__v{version}.xlsx</x:t>
        </x:is>
      </x:c>
      <x:c r="J11" t="inlineStr">
        <x:is>
          <x:t>{job_id}</x:t>
        </x:is>
      </x:c>
      <x:c r="K11" t="inlineStr">
        <x:is>
          <x:t>uniquify</x:t>
        </x:is>
      </x:c>
      <x:c r="L11" t="inlineStr">
        <x:is>
          <x:t>true</x:t>
        </x:is>
      </x:c>
      <x:c r="M11" t="inlineStr">
        <x:is>
          <x:t>true</x:t>
        </x:is>
      </x:c>
      <x:c r="N11" t="inlineStr">
        <x:is>
          <x:t>true</x:t>
        </x:is>
      </x:c>
      <x:c r="O11" t="inlineStr">
        <x:is>
          <x:t/>
        </x:is>
      </x:c>
      <x:c r="P11" t="inlineStr">
        <x:is>
          <x:t>900</x:t>
        </x:is>
      </x:c>
      <x:c r="Q11" t="inlineStr">
        <x:is>
          <x:t>2</x:t>
        </x:is>
      </x:c>
      <x:c r="R11" t="inlineStr">
        <x:is>
          <x:t>8-12</x:t>
        </x:is>
      </x:c>
      <x:c r="S11" t="inlineStr">
        <x:is>
          <x:t>5</x:t>
        </x:is>
      </x:c>
      <x:c r="T11" t="inlineStr">
        <x:is>
          <x:t>false</x:t>
        </x:is>
      </x:c>
      <x:c r="U11" t="inlineStr">
        <x:is>
          <x:t>false</x:t>
        </x:is>
      </x:c>
      <x:c r="V11" t="inlineStr">
        <x:is>
          <x:t>SUCCESS</x:t>
        </x:is>
      </x:c>
      <x:c r="W11" t="inlineStr">
        <x:is>
          <x:t>SUCCESS</x:t>
        </x:is>
      </x:c>
      <x:c r="X11" t="inlineStr">
        <x:is>
          <x:t/>
        </x:is>
      </x:c>
      <x:c r="Y11" t="inlineStr">
        <x:is>
          <x:t/>
        </x:is>
      </x:c>
      <x:c r="Z11" t="inlineStr">
        <x:is>
          <x:t/>
        </x:is>
      </x:c>
      <x:c r="AA11" t="inlineStr">
        <x:is>
          <x:t>attempt-mt649cic-2-zlr01l8h</x:t>
        </x:is>
      </x:c>
      <x:c r="AB11" t="inlineStr">
        <x:is>
          <x:t>1</x:t>
        </x:is>
      </x:c>
      <x:c r="AC11" t="inlineStr">
        <x:is>
          <x:t>0</x:t>
        </x:is>
      </x:c>
      <x:c r="AD11" t="inlineStr">
        <x:is>
          <x:t>2026-08-23T18:04:11.476Z</x:t>
        </x:is>
      </x:c>
      <x:c r="AE11" t="inlineStr">
        <x:is>
          <x:t>{"assistant_count_before":0,"assistant_node_ids":[],"assistant_fingerprints":[],"baseline_image_count":51,"baseline_source_ids":["abe5f0b2","abe5f0b2","ce18858c","83026435","9e925c61","9e925c61","9e925c61","8178fd82","d2d94423","a2fba001","a2fba001","a2fba001","9a723c33","e4dfced3","b6065acd","7e4b86e0","1973f9b5","1973f9b5","1973f9b5","9a723c33","e4dfced3","0f1286b9","09ac3cda","71a4d305","71a4d305","71a4d305","9a723c33","e4dfced3","6dd521dc","64a7da8c","77c79e17","77c79e17","77c79e17","c0224c90","9c4359ab","24fa3670","e652cf61","fbf5a20a","fbf5a20a","fbf5a20a","9a723c33","e4dfced3","eef810bb","03cc3b45","f3061e53","f3061e53","f3061e53","35de1249","653db9d0","3faa5582","3faa0456"],"baseline_image_node_ids":["2d2e2954","302e2e0d","2f2e2c7a","2a2e249b","292e2308","2c2e27c1","2b2e262e","262e1e4f","252e1cbc","83ab286c","84ab29ff","85ab2b92","86ab2d25","7fab2220","80ab23b3","81ab2546","82ab26d9","8bab3504","8cab3697","15b2ca07","14b2c874","17b2cd2d","16b2cb9a","11b2c3bb","10b2c228","13b2c6e1","12b2c54e","0db2bd6f","0cb2bbdc","8fafb87e","90afba11","8dafb558","8eafb6eb","93afbeca","94afc05d","91afbba4","92afbd37","87afabe6","88afad79","11a3b931","14a3bdea","13a3bc57","12a3bac4","09a3ac99","08a3ab06","0ba17128","0ca172bb","0da1744e","0ea175e1","0fa17774","10a17907"],"assistant_count_after":0,"new_assistant_fingerprints":[],"stop_visible":true,"generating":true,"candidate_counts":{"post_turn":{"total":0,"ready":0,"visible":0,"input":0,"eligible":0,"role":{"assistant":0,"user":0,"unknown":0}},"fresh":{"total":8,"ready":8,"visible":5,"input":2,"eligible":1,"role":{"assistant":0,"user":2,"unknown":6}}},"baseline_vs_fresh":{"baseline":51,"fresh":8},"chosen_attribution":"new_visible_fallback","decision_reason":null,"decision":{"post_turn":{"total":0,"ready":0,"visible":0,"input":0,"eligible":0,"role":{"assistant":0,"user":0,"unknown":0}},"post_turn_ids":[],"baseline_count":51,"fresh":{"total":8,"ready":8,"visible":5,"input":2,"eligible":1,"role":{"assistant":0,"user":2,"unknown":6}},"fresh_ids":[{"source_id":"6b2a22de","node_id":"03a16490","role":"user","input":true,"visible":true,"ready":true},{"source_id":"962b78b9","node_id":"04a16623","role":"user","input":true,"visible":true,"ready":true},{"source_id":"a8fcb49f","node_id":"7da8e063","role":"unknown","input":false,"visible":true,"ready":true},{"source_id":"a8fcb49f","node_id":"7ca8ded0","role":"unknown","input":false,"visible":true,"ready":true},{"source_id":"a8fcb49f","node_id":"7fa8e389","role":"unknown","input":false,"visible":true,"ready":true},{"source_id":"a8fcb49f","node_id":"7ea8e1f6","role":"unknown","input":false,"visible":false,"ready":true},{"source_id":"a8fcb49f","node_id":"81a8e6af","role":"unknown","input":false,"visible":false,"ready":true},{"source_id":"a8fcb49f","node_id":"80a8e51c","role":"unknown","input":false,"visible":false,"ready":true}],"rejection_reason":null,"chosen":{"source_id":"a8fcb49f","node_id":"7da8e063","role":"unknown","input":false,"visible":true,"ready":true}}}</x:t>
        </x:is>
      </x:c>
      <x:c r="AF11" t="inlineStr">
        <x:is>
          <x:t>P08-S01-I001-S1-01B-F01.png</x:t>
        </x:is>
      </x:c>
      <x:c r="AG11" t="inlineStr">
        <x:is>
          <x:t>true</x:t>
        </x:is>
      </x:c>
      <x:c r="AH11" t="inlineStr">
        <x:is>
          <x:t>false</x:t>
        </x:is>
      </x:c>
      <x:c r="AI11" t="inlineStr">
        <x:is>
          <x:t>Authorized folder handle: Pilot-08 (absolute path unavailable)/P08-S01-I001-S1-01B-F01.png</x:t>
        </x:is>
      </x:c>
      <x:c r="AJ11" t="inlineStr">
        <x:is>
          <x:t/>
        </x:is>
      </x:c>
      <x:c r="AK11" t="inlineStr">
        <x:is>
          <x:t>2026-08-23T18:05:57.466Z</x:t>
        </x:is>
      </x:c>
      <x:c r="AL11" t="inlineStr">
        <x:is>
          <x:t>written</x:t>
        </x:is>
      </x:c>
      <x:c r="AM11" t="inlineStr">
        <x:is>
          <x:t>2026-08-23T18:06:32.099Z</x:t>
        </x:is>
      </x:c>
    </x:row>
    <x:row r="12" ht="405" customHeight="1">
      <x:c r="A12" s="25" t="n">
        <x:v>11</x:v>
      </x:c>
      <x:c r="B12" s="26" t="str">
        <x:v>P08-S01-I001-S1-01B-F02</x:v>
      </x:c>
      <x:c r="C12" s="27" t="str">
        <x:v>Create a storyboard concept still for Pilot 8 source clip I001-S1-01B, story 1B.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padded door is half open beneath the toy planter. A felt loop remains caught around the lower hinge tab but is slack. Bố holds the frame eased back. Meo stands beside it.
Exact frozen action for this frame: Meo slides the soft loop sideways over the rounded hinge tab. When it clears, she signals Bố. He slowly pulls the frame handle, opening the door fully. The giant playroom appears: carpet fibers like grass, wooden blocks like buildings, a tall flower stem and a distant friendly ladybug resting on a leaf.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half-open door, loose felt loop and giant world visible. No cuts.
Visible physics/mechanism that must read correctly: removing the slack loop frees the hinge; with no fiber catching the tab, the door rotates smoothly through its full arc.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2" s="28" t="str">
        <x:v>P08-S01-MEO-PRIMARY.REFERENCE.png|P08-S01-MEO-SECONDARY.REFERENCE.png|P08-S01-BO-FRONT.REFERENCE.jpg|P08-S01-BO-SIDE.REFERENCE.jpg</x:v>
      </x:c>
      <x:c r="E12" t="inlineStr">
        <x:is>
          <x:t>20260823-1738-pilot08-s01-image-queue</x:t>
        </x:is>
      </x:c>
      <x:c r="F12" t="inlineStr">
        <x:is>
          <x:t>Pilot08-S01.IMAGE-QUEUE__results__v{version}.xlsx</x:t>
        </x:is>
      </x:c>
      <x:c r="G12" t="inlineStr">
        <x:is>
          <x:t>Pilot08-S01.IMAGE-QUEUE__results__v01.xlsx</x:t>
        </x:is>
      </x:c>
      <x:c r="H12" t="inlineStr">
        <x:is>
          <x:t>Authorized folder handle: Pilot-08 (absolute path unavailable)</x:t>
        </x:is>
      </x:c>
      <x:c r="I12" t="inlineStr">
        <x:is>
          <x:t>Authorized folder handle: Pilot-08 (absolute path unavailable)/Pilot08-S01.IMAGE-QUEUE__results__v{version}.xlsx</x:t>
        </x:is>
      </x:c>
      <x:c r="J12" t="inlineStr">
        <x:is>
          <x:t>{job_id}</x:t>
        </x:is>
      </x:c>
      <x:c r="K12" t="inlineStr">
        <x:is>
          <x:t>uniquify</x:t>
        </x:is>
      </x:c>
      <x:c r="L12" t="inlineStr">
        <x:is>
          <x:t>true</x:t>
        </x:is>
      </x:c>
      <x:c r="M12" t="inlineStr">
        <x:is>
          <x:t>true</x:t>
        </x:is>
      </x:c>
      <x:c r="N12" t="inlineStr">
        <x:is>
          <x:t>true</x:t>
        </x:is>
      </x:c>
      <x:c r="O12" t="inlineStr">
        <x:is>
          <x:t/>
        </x:is>
      </x:c>
      <x:c r="P12" t="inlineStr">
        <x:is>
          <x:t>900</x:t>
        </x:is>
      </x:c>
      <x:c r="Q12" t="inlineStr">
        <x:is>
          <x:t>2</x:t>
        </x:is>
      </x:c>
      <x:c r="R12" t="inlineStr">
        <x:is>
          <x:t>8-12</x:t>
        </x:is>
      </x:c>
      <x:c r="S12" t="inlineStr">
        <x:is>
          <x:t>5</x:t>
        </x:is>
      </x:c>
      <x:c r="T12" t="inlineStr">
        <x:is>
          <x:t>false</x:t>
        </x:is>
      </x:c>
      <x:c r="U12" t="inlineStr">
        <x:is>
          <x:t>false</x:t>
        </x:is>
      </x:c>
      <x:c r="V12" t="inlineStr">
        <x:is>
          <x:t>SUCCESS</x:t>
        </x:is>
      </x:c>
      <x:c r="W12" t="inlineStr">
        <x:is>
          <x:t>SUCCESS</x:t>
        </x:is>
      </x:c>
      <x:c r="X12" t="inlineStr">
        <x:is>
          <x:t/>
        </x:is>
      </x:c>
      <x:c r="Y12" t="inlineStr">
        <x:is>
          <x:t/>
        </x:is>
      </x:c>
      <x:c r="Z12" t="inlineStr">
        <x:is>
          <x:t/>
        </x:is>
      </x:c>
      <x:c r="AA12" t="inlineStr">
        <x:is>
          <x:t>attempt-mt64d7ar-3-n6944rnp</x:t>
        </x:is>
      </x:c>
      <x:c r="AB12" t="inlineStr">
        <x:is>
          <x:t>1</x:t>
        </x:is>
      </x:c>
      <x:c r="AC12" t="inlineStr">
        <x:is>
          <x:t>0</x:t>
        </x:is>
      </x:c>
      <x:c r="AD12" t="inlineStr">
        <x:is>
          <x:t>2026-08-23T18:07:10.987Z</x:t>
        </x:is>
      </x:c>
      <x:c r="AE12" t="inlineStr">
        <x:is>
          <x:t>{"assistant_count_before":0,"assistant_node_ids":[],"assistant_fingerprints":[],"baseline_image_count":58,"baseline_source_ids":["abe5f0b2","abe5f0b2","ce18858c","83026435","9e925c61","9e925c61","9e925c61","8178fd82","d2d94423","a2fba001","a2fba001","a2fba001","9a723c33","e4dfced3","b6065acd","7e4b86e0","1973f9b5","1973f9b5","1973f9b5","9a723c33","e4dfced3","0f1286b9","09ac3cda","71a4d305","71a4d305","71a4d305","9a723c33","e4dfced3","6dd521dc","64a7da8c","77c79e17","77c79e17","77c79e17","c0224c90","9c4359ab","24fa3670","e652cf61","fbf5a20a","fbf5a20a","fbf5a20a","9a723c33","e4dfced3","eef810bb","03cc3b45","f3061e53","f3061e53","f3061e53","9a723c33","e4dfced3","6b2a22de","962b78b9","a8fcb49f","a8fcb49f","a8fcb49f","c973fdb4","03c465e6","bcbe8c23","d0b401f7"],"baseline_image_node_ids":["2d2e2954","302e2e0d","2f2e2c7a","2a2e249b","292e2308","2c2e27c1","2b2e262e","262e1e4f","252e1cbc","83ab286c","84ab29ff","85ab2b92","86ab2d25","7fab2220","80ab23b3","81ab2546","82ab26d9","8bab3504","8cab3697","15b2ca07","14b2c874","17b2cd2d","16b2cb9a","11b2c3bb","10b2c228","13b2c6e1","12b2c54e","0db2bd6f","0cb2bbdc","8fafb87e","90afba11","8dafb558","8eafb6eb","93afbeca","94afc05d","91afbba4","92afbd37","87afabe6","88afad79","11a3b931","14a3bdea","13a3bc57","12a3bac4","09a3ac99","08a3ab06","0ba17128","0ca172bb","11a17a9a","12a17c2d","03a16490","04a16623","83a8e9d5","82a8e842","85a8ecfb","84a8eb68","17a6013a","18a602cd","15a5fe14"],"assistant_count_after":0,"new_assistant_fingerprints":[],"stop_visible":true,"generating":true,"candidate_counts":{"post_turn":{"total":0,"ready":0,"visible":0,"input":0,"eligible":0,"role":{"assistant":0,"user":0,"unknown":0}},"fresh":{"total":8,"ready":8,"visible":5,"input":2,"eligible":1,"role":{"assistant":0,"user":2,"unknown":6}}},"baseline_vs_fresh":{"baseline":58,"fresh":8},"chosen_attribution":"new_visible_fallback","decision_reason":null,"decision":{"post_turn":{"total":0,"ready":0,"visible":0,"input":0,"eligible":0,"role":{"assistant":0,"user":0,"unknown":0}},"post_turn_ids":[],"baseline_count":58,"fresh":{"total":8,"ready":8,"visible":5,"input":2,"eligible":1,"role":{"assistant":0,"user":2,"unknown":6}},"fresh_ids":[{"source_id":"8dc3b5f1","node_id":"14a5fc81","role":"user","input":true,"visible":true,"ready":true},{"source_id":"5c770896","node_id":"11a5f7c8","role":"user","input":true,"visible":true,"ready":true},{"source_id":"65204c50","node_id":"12a5f95b","role":"unknown","input":false,"visible":true,"ready":true},{"source_id":"65204c50","node_id":"0fa5f4a2","role":"unknown","input":false,"visible":true,"ready":true},{"source_id":"65204c50","node_id":"10a5f635","role":"unknown","input":false,"visible":true,"ready":true},{"source_id":"65204c50","node_id":"999a01ed","role":"unknown","input":false,"visible":false,"ready":true},{"source_id":"65204c50","node_id":"989a005a","role":"unknown","input":false,"visible":false,"ready":true},{"source_id":"65204c50","node_id":"9799fec7","role":"unknown","input":false,"visible":false,"ready":true}],"rejection_reason":null,"chosen":{"source_id":"65204c50","node_id":"12a5f95b","role":"unknown","input":false,"visible":true,"ready":true}}}</x:t>
        </x:is>
      </x:c>
      <x:c r="AF12" t="inlineStr">
        <x:is>
          <x:t>P08-S01-I001-S1-01B-F02.png</x:t>
        </x:is>
      </x:c>
      <x:c r="AG12" t="inlineStr">
        <x:is>
          <x:t>true</x:t>
        </x:is>
      </x:c>
      <x:c r="AH12" t="inlineStr">
        <x:is>
          <x:t>false</x:t>
        </x:is>
      </x:c>
      <x:c r="AI12" t="inlineStr">
        <x:is>
          <x:t>Authorized folder handle: Pilot-08 (absolute path unavailable)/P08-S01-I001-S1-01B-F02.png</x:t>
        </x:is>
      </x:c>
      <x:c r="AJ12" t="inlineStr">
        <x:is>
          <x:t/>
        </x:is>
      </x:c>
      <x:c r="AK12" t="inlineStr">
        <x:is>
          <x:t>2026-08-23T18:08:56.843Z</x:t>
        </x:is>
      </x:c>
      <x:c r="AL12" t="inlineStr">
        <x:is>
          <x:t>written</x:t>
        </x:is>
      </x:c>
      <x:c r="AM12" t="inlineStr">
        <x:is>
          <x:t>2026-08-23T18:09:37.004Z</x:t>
        </x:is>
      </x:c>
    </x:row>
    <x:row r="13" ht="405" customHeight="1">
      <x:c r="A13" s="25" t="n">
        <x:v>12</x:v>
      </x:c>
      <x:c r="B13" s="26" t="str">
        <x:v>P08-S01-I001-S1-01B-F03</x:v>
      </x:c>
      <x:c r="C13" s="27" t="str">
        <x:v>Create a storyboard concept still for Pilot 8 source clip I001-S1-01B, story 1B.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padded door is half open beneath the toy planter. A felt loop remains caught around the lower hinge tab but is slack. Bố holds the frame eased back. Meo stands beside it.
Exact frozen action for this frame: Bố seats the door handle into a padded wall catch so the doorway stays safely open. Meo stands beside him, looking across the miniature world. light fills the doorway. Meo says in Vietnamese, with a delighted five-year-old voice: “Bố ơi, mọi thứ khổng lồ hết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half-open door, loose felt loop and giant world visible. No cuts.
Visible physics/mechanism that must read correctly: removing the slack loop frees the hinge; with no fiber catching the tab, the door rotates smoothly through its full arc.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3" s="28" t="str">
        <x:v>P08-S01-MEO-PRIMARY.REFERENCE.png|P08-S01-MEO-SECONDARY.REFERENCE.png|P08-S01-BO-FRONT.REFERENCE.jpg|P08-S01-BO-SIDE.REFERENCE.jpg</x:v>
      </x:c>
      <x:c r="E13" t="inlineStr">
        <x:is>
          <x:t>20260823-1738-pilot08-s01-image-queue</x:t>
        </x:is>
      </x:c>
      <x:c r="F13" t="inlineStr">
        <x:is>
          <x:t>Pilot08-S01.IMAGE-QUEUE__results__v{version}.xlsx</x:t>
        </x:is>
      </x:c>
      <x:c r="G13" t="inlineStr">
        <x:is>
          <x:t>Pilot08-S01.IMAGE-QUEUE__results__v01.xlsx</x:t>
        </x:is>
      </x:c>
      <x:c r="H13" t="inlineStr">
        <x:is>
          <x:t>Authorized folder handle: Pilot-08 (absolute path unavailable)</x:t>
        </x:is>
      </x:c>
      <x:c r="I13" t="inlineStr">
        <x:is>
          <x:t>Authorized folder handle: Pilot-08 (absolute path unavailable)/Pilot08-S01.IMAGE-QUEUE__results__v{version}.xlsx</x:t>
        </x:is>
      </x:c>
      <x:c r="J13" t="inlineStr">
        <x:is>
          <x:t>{job_id}</x:t>
        </x:is>
      </x:c>
      <x:c r="K13" t="inlineStr">
        <x:is>
          <x:t>uniquify</x:t>
        </x:is>
      </x:c>
      <x:c r="L13" t="inlineStr">
        <x:is>
          <x:t>true</x:t>
        </x:is>
      </x:c>
      <x:c r="M13" t="inlineStr">
        <x:is>
          <x:t>true</x:t>
        </x:is>
      </x:c>
      <x:c r="N13" t="inlineStr">
        <x:is>
          <x:t>true</x:t>
        </x:is>
      </x:c>
      <x:c r="O13" t="inlineStr">
        <x:is>
          <x:t/>
        </x:is>
      </x:c>
      <x:c r="P13" t="inlineStr">
        <x:is>
          <x:t>900</x:t>
        </x:is>
      </x:c>
      <x:c r="Q13" t="inlineStr">
        <x:is>
          <x:t>2</x:t>
        </x:is>
      </x:c>
      <x:c r="R13" t="inlineStr">
        <x:is>
          <x:t>8-12</x:t>
        </x:is>
      </x:c>
      <x:c r="S13" t="inlineStr">
        <x:is>
          <x:t>5</x:t>
        </x:is>
      </x:c>
      <x:c r="T13" t="inlineStr">
        <x:is>
          <x:t>false</x:t>
        </x:is>
      </x:c>
      <x:c r="U13" t="inlineStr">
        <x:is>
          <x:t>false</x:t>
        </x:is>
      </x:c>
      <x:c r="V13" t="inlineStr">
        <x:is>
          <x:t>SUCCESS</x:t>
        </x:is>
      </x:c>
      <x:c r="W13" t="inlineStr">
        <x:is>
          <x:t>SUCCESS</x:t>
        </x:is>
      </x:c>
      <x:c r="X13" t="inlineStr">
        <x:is>
          <x:t/>
        </x:is>
      </x:c>
      <x:c r="Y13" t="inlineStr">
        <x:is>
          <x:t/>
        </x:is>
      </x:c>
      <x:c r="Z13" t="inlineStr">
        <x:is>
          <x:t/>
        </x:is>
      </x:c>
      <x:c r="AA13" t="inlineStr">
        <x:is>
          <x:t>attempt-mt64h57b-4-qpxpoxzp</x:t>
        </x:is>
      </x:c>
      <x:c r="AB13" t="inlineStr">
        <x:is>
          <x:t>1</x:t>
        </x:is>
      </x:c>
      <x:c r="AC13" t="inlineStr">
        <x:is>
          <x:t>0</x:t>
        </x:is>
      </x:c>
      <x:c r="AD13" t="inlineStr">
        <x:is>
          <x:t>2026-08-23T18:10:15.879Z</x:t>
        </x:is>
      </x:c>
      <x:c r="AE13" t="inlineStr">
        <x:is>
          <x:t>{"assistant_count_before":0,"assistant_node_ids":[],"assistant_fingerprints":[],"baseline_image_count":65,"baseline_source_ids":["abe5f0b2","abe5f0b2","ce18858c","83026435","9e925c61","9e925c61","9e925c61","8178fd82","d2d94423","a2fba001","a2fba001","a2fba001","9a723c33","e4dfced3","b6065acd","7e4b86e0","1973f9b5","1973f9b5","1973f9b5","9a723c33","e4dfced3","0f1286b9","09ac3cda","71a4d305","71a4d305","71a4d305","9a723c33","e4dfced3","6dd521dc","64a7da8c","77c79e17","77c79e17","77c79e17","c0224c90","9c4359ab","24fa3670","e652cf61","fbf5a20a","fbf5a20a","fbf5a20a","9a723c33","e4dfced3","eef810bb","03cc3b45","f3061e53","f3061e53","f3061e53","9a723c33","e4dfced3","6b2a22de","962b78b9","a8fcb49f","a8fcb49f","a8fcb49f","9a723c33","e4dfced3","8dc3b5f1","5c770896","65204c50","65204c50","65204c50","322a5440","1e3deeeb","2e1b8942","a1c65794"],"baseline_image_node_ids":["2d2e2954","302e2e0d","2f2e2c7a","2a2e249b","292e2308","2c2e27c1","2b2e262e","262e1e4f","252e1cbc","83ab286c","84ab29ff","85ab2b92","86ab2d25","7fab2220","80ab23b3","81ab2546","82ab26d9","8bab3504","8cab3697","15b2ca07","14b2c874","17b2cd2d","16b2cb9a","11b2c3bb","10b2c228","13b2c6e1","12b2c54e","0db2bd6f","0cb2bbdc","8fafb87e","90afba11","8dafb558","8eafb6eb","93afbeca","94afc05d","91afbba4","92afbd37","87afabe6","88afad79","11a3b931","14a3bdea","13a3bc57","12a3bac4","09a3ac99","08a3ab06","0ba17128","0ca172bb","11a17a9a","12a17c2d","03a16490","04a16623","83a8e9d5","82a8e842","85a8ecfb","16a5ffa7","13a5faee","14a5fc81","11a5f7c8","9699fd34","9599fba1","9499fa0e","9399f87b","9299f6e8","9199f555","9099f3c2"],"assistant_count_after":0,"new_assistant_fingerprints":[],"stop_visible":true,"generating":true,"candidate_counts":{"post_turn":{"total":0,"ready":0,"visible":0,"input":0,"eligible":0,"role":{"assistant":0,"user":0,"unknown":0}},"fresh":{"total":8,"ready":8,"visible":5,"input":2,"eligible":1,"role":{"assistant":0,"user":2,"unknown":6}}},"baseline_vs_fresh":{"baseline":65,"fresh":8},"chosen_attribution":"new_visible_fallback","decision_reason":null,"decision":{"post_turn":{"total":0,"ready":0,"visible":0,"input":0,"eligible":0,"role":{"assistant":0,"user":0,"unknown":0}},"post_turn_ids":[],"baseline_count":65,"fresh":{"total":8,"ready":8,"visible":5,"input":2,"eligible":1,"role":{"assistant":0,"user":2,"unknown":6}},"fresh_ids":[{"source_id":"dbf129a8","node_id":"1596f38a","role":"user","input":true,"visible":true,"ready":true},{"source_id":"28e521cf","node_id":"1696f51d","role":"user","input":true,"visible":true,"ready":true},{"source_id":"9d9685db","node_id":"0f96ea18","role":"unknown","input":false,"visible":true,"ready":true},{"source_id":"9d9685db","node_id":"1096ebab","role":"unknown","input":false,"visible":true,"ready":true},{"source_id":"9d9685db","node_id":"1196ed3e","role":"unknown","input":false,"visible":true,"ready":true},{"source_id":"9d9685db","node_id":"1296eed1","role":"unknown","input":false,"visible":false,"ready":true},{"source_id":"9d9685db","node_id":"0b96e3cc","role":"unknown","input":false,"visible":false,"ready":true},{"source_id":"9d9685db","node_id":"0c96e55f","role":"unknown","input":false,"visible":false,"ready":true}],"rejection_reason":null,"chosen":{"source_id":"9d9685db","node_id":"0f96ea18","role":"unknown","input":false,"visible":true,"ready":true}}}</x:t>
        </x:is>
      </x:c>
      <x:c r="AF13" t="inlineStr">
        <x:is>
          <x:t>P08-S01-I001-S1-01B-F03.png</x:t>
        </x:is>
      </x:c>
      <x:c r="AG13" t="inlineStr">
        <x:is>
          <x:t>true</x:t>
        </x:is>
      </x:c>
      <x:c r="AH13" t="inlineStr">
        <x:is>
          <x:t>false</x:t>
        </x:is>
      </x:c>
      <x:c r="AI13" t="inlineStr">
        <x:is>
          <x:t>Authorized folder handle: Pilot-08 (absolute path unavailable)/P08-S01-I001-S1-01B-F03.png</x:t>
        </x:is>
      </x:c>
      <x:c r="AJ13" t="inlineStr">
        <x:is>
          <x:t/>
        </x:is>
      </x:c>
      <x:c r="AK13" t="inlineStr">
        <x:is>
          <x:t>2026-08-23T18:12:13.525Z</x:t>
        </x:is>
      </x:c>
      <x:c r="AL13" t="inlineStr">
        <x:is>
          <x:t>written</x:t>
        </x:is>
      </x:c>
      <x:c r="AM13" t="inlineStr">
        <x:is>
          <x:t>2026-08-23T18:12:53.366Z</x:t>
        </x:is>
      </x:c>
    </x:row>
    <x:row r="14" ht="405" customHeight="1">
      <x:c r="A14" s="25" t="n">
        <x:v>13</x:v>
      </x:c>
      <x:c r="B14" s="26" t="str">
        <x:v>P08-S01-I001-S1-02A-F01</x:v>
      </x:c>
      <x:c r="C14" s="27" t="str">
        <x:v>Create a storyboard concept still for Pilot 8 source clip I001-S1-02A, story 2A.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Meo and Bố are inside the Tiny World. Carpet fibers rise like grass. A giant leaf forms a gentle canopy. A clear round dewdrop rests on the leaf edge above a flat toy-path, magnifying and shifting the view of a red wooden block landmark beyond it.
Exact frozen action for this frame: Bố holds a padded leaf-stem handle and gently changes the leaf angle a few degrees. The dewdrop stays attached while the view through it moves.
Show the opening physical state and every prop needed to understand the coming cause-and-effect.
Camera: adapt this approved moving-shot direction into one readable still composition: one medium-wide side tracking shot at miniature ground level beside a giant green leaf. No cuts.
Visible physics/mechanism that must read correctly: the curved dewdrop refracts light, making the landmark appear shifted and enlarged; changing the leaf angle changes the viewing path through the drop.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4" s="28" t="str">
        <x:v>P08-S01-MEO-PRIMARY.REFERENCE.png|P08-S01-MEO-SECONDARY.REFERENCE.png|P08-S01-BO-FRONT.REFERENCE.jpg|P08-S01-BO-SIDE.REFERENCE.jpg</x:v>
      </x:c>
      <x:c r="E14" t="inlineStr">
        <x:is>
          <x:t>20260823-1738-pilot08-s01-image-queue</x:t>
        </x:is>
      </x:c>
      <x:c r="F14" t="inlineStr">
        <x:is>
          <x:t>Pilot08-S01.IMAGE-QUEUE__results__v{version}.xlsx</x:t>
        </x:is>
      </x:c>
      <x:c r="G14" t="inlineStr">
        <x:is>
          <x:t>Pilot08-S01.IMAGE-QUEUE__results__v01.xlsx</x:t>
        </x:is>
      </x:c>
      <x:c r="H14" t="inlineStr">
        <x:is>
          <x:t>Authorized folder handle: Pilot-08 (absolute path unavailable)</x:t>
        </x:is>
      </x:c>
      <x:c r="I14" t="inlineStr">
        <x:is>
          <x:t>Authorized folder handle: Pilot-08 (absolute path unavailable)/Pilot08-S01.IMAGE-QUEUE__results__v{version}.xlsx</x:t>
        </x:is>
      </x:c>
      <x:c r="J14" t="inlineStr">
        <x:is>
          <x:t>{job_id}</x:t>
        </x:is>
      </x:c>
      <x:c r="K14" t="inlineStr">
        <x:is>
          <x:t>uniquify</x:t>
        </x:is>
      </x:c>
      <x:c r="L14" t="inlineStr">
        <x:is>
          <x:t>true</x:t>
        </x:is>
      </x:c>
      <x:c r="M14" t="inlineStr">
        <x:is>
          <x:t>true</x:t>
        </x:is>
      </x:c>
      <x:c r="N14" t="inlineStr">
        <x:is>
          <x:t>true</x:t>
        </x:is>
      </x:c>
      <x:c r="O14" t="inlineStr">
        <x:is>
          <x:t/>
        </x:is>
      </x:c>
      <x:c r="P14" t="inlineStr">
        <x:is>
          <x:t>900</x:t>
        </x:is>
      </x:c>
      <x:c r="Q14" t="inlineStr">
        <x:is>
          <x:t>2</x:t>
        </x:is>
      </x:c>
      <x:c r="R14" t="inlineStr">
        <x:is>
          <x:t>8-12</x:t>
        </x:is>
      </x:c>
      <x:c r="S14" t="inlineStr">
        <x:is>
          <x:t>5</x:t>
        </x:is>
      </x:c>
      <x:c r="T14" t="inlineStr">
        <x:is>
          <x:t>false</x:t>
        </x:is>
      </x:c>
      <x:c r="U14" t="inlineStr">
        <x:is>
          <x:t>false</x:t>
        </x:is>
      </x:c>
      <x:c r="V14" t="inlineStr">
        <x:is>
          <x:t>SUCCESS</x:t>
        </x:is>
      </x:c>
      <x:c r="W14" t="inlineStr">
        <x:is>
          <x:t>SUCCESS</x:t>
        </x:is>
      </x:c>
      <x:c r="X14" t="inlineStr">
        <x:is>
          <x:t/>
        </x:is>
      </x:c>
      <x:c r="Y14" t="inlineStr">
        <x:is>
          <x:t/>
        </x:is>
      </x:c>
      <x:c r="Z14" t="inlineStr">
        <x:is>
          <x:t/>
        </x:is>
      </x:c>
      <x:c r="AA14" t="inlineStr">
        <x:is>
          <x:t>attempt-mt64lfus-5-gkkb4n17</x:t>
        </x:is>
      </x:c>
      <x:c r="AB14" t="inlineStr">
        <x:is>
          <x:t>1</x:t>
        </x:is>
      </x:c>
      <x:c r="AC14" t="inlineStr">
        <x:is>
          <x:t>0</x:t>
        </x:is>
      </x:c>
      <x:c r="AD14" t="inlineStr">
        <x:is>
          <x:t>2026-08-23T18:13:36.380Z</x:t>
        </x:is>
      </x:c>
      <x:c r="AE14" t="inlineStr">
        <x:is>
          <x:t>{"assistant_count_before":0,"assistant_node_ids":[],"assistant_fingerprints":[],"baseline_image_count":72,"baseline_source_ids":["abe5f0b2","abe5f0b2","ce18858c","83026435","9e925c61","9e925c61","9e925c61","8178fd82","d2d94423","a2fba001","a2fba001","a2fba001","9a723c33","e4dfced3","b6065acd","7e4b86e0","1973f9b5","1973f9b5","1973f9b5","9a723c33","e4dfced3","0f1286b9","09ac3cda","71a4d305","71a4d305","71a4d305","9a723c33","e4dfced3","6dd521dc","64a7da8c","77c79e17","77c79e17","77c79e17","c0224c90","9c4359ab","24fa3670","e652cf61","fbf5a20a","fbf5a20a","fbf5a20a","9a723c33","e4dfced3","eef810bb","03cc3b45","f3061e53","f3061e53","f3061e53","9a723c33","e4dfced3","6b2a22de","962b78b9","a8fcb49f","a8fcb49f","a8fcb49f","9a723c33","e4dfced3","8dc3b5f1","5c770896","65204c50","65204c50","65204c50","9a723c33","e4dfced3","dbf129a8","28e521cf","9d9685db","9d9685db","9d9685db","ab99a69a","5ecb6739","5dec169d","9d818239"],"baseline_image_node_ids":["2d2e2954","302e2e0d","2f2e2c7a","2a2e249b","292e2308","2c2e27c1","2b2e262e","262e1e4f","252e1cbc","83ab286c","84ab29ff","85ab2b92","86ab2d25","7fab2220","80ab23b3","81ab2546","82ab26d9","8bab3504","8cab3697","15b2ca07","14b2c874","17b2cd2d","16b2cb9a","11b2c3bb","10b2c228","13b2c6e1","12b2c54e","0db2bd6f","0cb2bbdc","8fafb87e","90afba11","8dafb558","8eafb6eb","93afbeca","94afc05d","91afbba4","92afbd37","87afabe6","88afad79","11a3b931","14a3bdea","13a3bc57","12a3bac4","09a3ac99","08a3ab06","0ba17128","0ca172bb","11a17a9a","12a17c2d","03a16490","04a16623","83a8e9d5","82a8e842","85a8ecfb","16a5ffa7","13a5faee","14a5fc81","11a5f7c8","9699fd34","9599fba1","9499fa0e","1396f064","1496f1f7","1596f38a","1696f51d","a27088d4","a3708a67","a4708bfa","a5708d8d","9e708288","9f70841b","a07085ae"],"assistant_count_after":0,"new_assistant_fingerprints":[],"stop_visible":true,"generating":true,"candidate_counts":{"post_turn":{"total":0,"ready":0,"visible":0,"input":0,"eligible":0,"role":{"assistant":0,"user":0,"unknown":0}},"fresh":{"total":4,"ready":4,"visible":4,"input":1,"eligible":1,"role":{"assistant":0,"user":1,"unknown":3}}},"baseline_vs_fresh":{"baseline":72,"fresh":4},"chosen_attribution":"new_visible_fallback","decision_reason":null,"decision":{"post_turn":{"total":0,"ready":0,"visible":0,"input":0,"eligible":0,"role":{"assistant":0,"user":0,"unknown":0}},"post_turn_ids":[],"baseline_count":72,"fresh":{"total":4,"ready":4,"visible":4,"input":1,"eligible":1,"role":{"assistant":0,"user":1,"unknown":3}},"fresh_ids":[{"source_id":"e37b4749","node_id":"9b707dcf","role":"user","input":true,"visible":true,"ready":true},{"source_id":"b7fcb0e6","node_id":"a772cf4a","role":"unknown","input":false,"visible":true,"ready":true},{"source_id":"b7fcb0e6","node_id":"a672cdb7","role":"unknown","input":false,"visible":true,"ready":true},{"source_id":"b7fcb0e6","node_id":"a572cc24","role":"unknown","input":false,"visible":true,"ready":true}],"rejection_reason":null,"chosen":{"source_id":"b7fcb0e6","node_id":"a772cf4a","role":"unknown","input":false,"visible":true,"ready":true}}}</x:t>
        </x:is>
      </x:c>
      <x:c r="AF14" t="inlineStr">
        <x:is>
          <x:t>P08-S01-I001-S1-02A-F01.png</x:t>
        </x:is>
      </x:c>
      <x:c r="AG14" t="inlineStr">
        <x:is>
          <x:t>true</x:t>
        </x:is>
      </x:c>
      <x:c r="AH14" t="inlineStr">
        <x:is>
          <x:t>false</x:t>
        </x:is>
      </x:c>
      <x:c r="AI14" t="inlineStr">
        <x:is>
          <x:t>Authorized folder handle: Pilot-08 (absolute path unavailable)/P08-S01-I001-S1-02A-F01.png</x:t>
        </x:is>
      </x:c>
      <x:c r="AJ14" t="inlineStr">
        <x:is>
          <x:t/>
        </x:is>
      </x:c>
      <x:c r="AK14" t="inlineStr">
        <x:is>
          <x:t>2026-08-23T18:15:20.540Z</x:t>
        </x:is>
      </x:c>
      <x:c r="AL14" t="inlineStr">
        <x:is>
          <x:t>written</x:t>
        </x:is>
      </x:c>
      <x:c r="AM14" t="inlineStr">
        <x:is>
          <x:t>2026-08-23T18:15:51.929Z</x:t>
        </x:is>
      </x:c>
    </x:row>
    <x:row r="15" ht="405" customHeight="1">
      <x:c r="A15" s="25" t="n">
        <x:v>14</x:v>
      </x:c>
      <x:c r="B15" s="26" t="str">
        <x:v>P08-S01-I001-S1-02A-F02</x:v>
      </x:c>
      <x:c r="C15" s="27" t="str">
        <x:v>Create a storyboard concept still for Pilot 8 source clip I001-S1-02A, story 2A.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Meo and Bố are inside the Tiny World. Carpet fibers rise like grass. A giant leaf forms a gentle canopy. A clear round dewdrop rests on the leaf edge above a flat toy-path, magnifying and shifting the view of a red wooden block landmark beyond it.
Exact frozen action for this frame: Meo looks toward the red block through the dewdrop and sees it appear shifted sideways and enlarged. When Bố eases the leaf back, the apparent block position shifts again even though the real block does not move. Meo compares the direct view beside the dewdrop with the distorted view through it.
Freeze the clearest instant of the main cause-and-effect action. Make Meo's observation and Bố's indispensable physical action simultaneously readable.
Camera: adapt this approved moving-shot direction into one readable still composition: one medium-wide side tracking shot at miniature ground level beside a giant green leaf. No cuts.
Visible physics/mechanism that must read correctly: the curved dewdrop refracts light, making the landmark appear shifted and enlarged; changing the leaf angle changes the viewing path through the drop.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5" s="28" t="str">
        <x:v>P08-S01-MEO-PRIMARY.REFERENCE.png|P08-S01-MEO-SECONDARY.REFERENCE.png|P08-S01-BO-FRONT.REFERENCE.jpg|P08-S01-BO-SIDE.REFERENCE.jpg</x:v>
      </x:c>
      <x:c r="E15" t="inlineStr">
        <x:is>
          <x:t>20260823-1738-pilot08-s01-image-queue</x:t>
        </x:is>
      </x:c>
      <x:c r="F15" t="inlineStr">
        <x:is>
          <x:t>Pilot08-S01.IMAGE-QUEUE__results__v{version}.xlsx</x:t>
        </x:is>
      </x:c>
      <x:c r="G15" t="inlineStr">
        <x:is>
          <x:t>Pilot08-S01.IMAGE-QUEUE__results__v01.xlsx</x:t>
        </x:is>
      </x:c>
      <x:c r="H15" t="inlineStr">
        <x:is>
          <x:t>Authorized folder handle: Pilot-08 (absolute path unavailable)</x:t>
        </x:is>
      </x:c>
      <x:c r="I15" t="inlineStr">
        <x:is>
          <x:t>Authorized folder handle: Pilot-08 (absolute path unavailable)/Pilot08-S01.IMAGE-QUEUE__results__v{version}.xlsx</x:t>
        </x:is>
      </x:c>
      <x:c r="J15" t="inlineStr">
        <x:is>
          <x:t>{job_id}</x:t>
        </x:is>
      </x:c>
      <x:c r="K15" t="inlineStr">
        <x:is>
          <x:t>uniquify</x:t>
        </x:is>
      </x:c>
      <x:c r="L15" t="inlineStr">
        <x:is>
          <x:t>true</x:t>
        </x:is>
      </x:c>
      <x:c r="M15" t="inlineStr">
        <x:is>
          <x:t>true</x:t>
        </x:is>
      </x:c>
      <x:c r="N15" t="inlineStr">
        <x:is>
          <x:t>true</x:t>
        </x:is>
      </x:c>
      <x:c r="O15" t="inlineStr">
        <x:is>
          <x:t/>
        </x:is>
      </x:c>
      <x:c r="P15" t="inlineStr">
        <x:is>
          <x:t>900</x:t>
        </x:is>
      </x:c>
      <x:c r="Q15" t="inlineStr">
        <x:is>
          <x:t>2</x:t>
        </x:is>
      </x:c>
      <x:c r="R15" t="inlineStr">
        <x:is>
          <x:t>8-12</x:t>
        </x:is>
      </x:c>
      <x:c r="S15" t="inlineStr">
        <x:is>
          <x:t>5</x:t>
        </x:is>
      </x:c>
      <x:c r="T15" t="inlineStr">
        <x:is>
          <x:t>false</x:t>
        </x:is>
      </x:c>
      <x:c r="U15" t="inlineStr">
        <x:is>
          <x:t>false</x:t>
        </x:is>
      </x:c>
      <x:c r="V15" t="inlineStr">
        <x:is>
          <x:t>SUCCESS</x:t>
        </x:is>
      </x:c>
      <x:c r="W15" t="inlineStr">
        <x:is>
          <x:t>SUCCESS</x:t>
        </x:is>
      </x:c>
      <x:c r="X15" t="inlineStr">
        <x:is>
          <x:t/>
        </x:is>
      </x:c>
      <x:c r="Y15" t="inlineStr">
        <x:is>
          <x:t/>
        </x:is>
      </x:c>
      <x:c r="Z15" t="inlineStr">
        <x:is>
          <x:t/>
        </x:is>
      </x:c>
      <x:c r="AA15" t="inlineStr">
        <x:is>
          <x:t>attempt-mt64p454-6-zlqnhcxd</x:t>
        </x:is>
      </x:c>
      <x:c r="AB15" t="inlineStr">
        <x:is>
          <x:t>1</x:t>
        </x:is>
      </x:c>
      <x:c r="AC15" t="inlineStr">
        <x:is>
          <x:t>0</x:t>
        </x:is>
      </x:c>
      <x:c r="AD15" t="inlineStr">
        <x:is>
          <x:t>2026-08-23T18:16:28.218Z</x:t>
        </x:is>
      </x:c>
      <x:c r="AE15" t="inlineStr">
        <x:is>
          <x:t>{"assistant_count_before":0,"assistant_node_ids":[],"assistant_fingerprints":[],"baseline_image_count":79,"baseline_source_ids":["abe5f0b2","abe5f0b2","ce18858c","83026435","9e925c61","9e925c61","9e925c61","8178fd82","d2d94423","a2fba001","a2fba001","a2fba001","9a723c33","e4dfced3","b6065acd","7e4b86e0","1973f9b5","1973f9b5","1973f9b5","9a723c33","e4dfced3","0f1286b9","09ac3cda","71a4d305","71a4d305","71a4d305","9a723c33","e4dfced3","6dd521dc","64a7da8c","77c79e17","77c79e17","77c79e17","c0224c90","9c4359ab","24fa3670","e652cf61","fbf5a20a","fbf5a20a","fbf5a20a","9a723c33","e4dfced3","eef810bb","03cc3b45","f3061e53","f3061e53","f3061e53","9a723c33","e4dfced3","6b2a22de","962b78b9","a8fcb49f","a8fcb49f","a8fcb49f","9a723c33","e4dfced3","8dc3b5f1","5c770896","65204c50","65204c50","65204c50","9a723c33","e4dfced3","dbf129a8","28e521cf","9d9685db","9d9685db","9d9685db","9a723c33","e4dfced3","e37b4749","28e521cf","b7fcb0e6","b7fcb0e6","b7fcb0e6","7c53a095","286edb67","01defe40","d28ec9a7"],"baseline_image_node_ids":["2d2e2954","302e2e0d","2f2e2c7a","2a2e249b","292e2308","2c2e27c1","2b2e262e","262e1e4f","252e1cbc","83ab286c","84ab29ff","85ab2b92","86ab2d25","7fab2220","80ab23b3","81ab2546","82ab26d9","8bab3504","8cab3697","15b2ca07","14b2c874","17b2cd2d","16b2cb9a","11b2c3bb","10b2c228","13b2c6e1","12b2c54e","0db2bd6f","0cb2bbdc","8fafb87e","90afba11","8dafb558","8eafb6eb","93afbeca","94afc05d","91afbba4","92afbd37","87afabe6","88afad79","11a3b931","14a3bdea","13a3bc57","12a3bac4","09a3ac99","08a3ab06","0ba17128","0ca172bb","11a17a9a","12a17c2d","03a16490","04a16623","83a8e9d5","82a8e842","85a8ecfb","16a5ffa7","13a5faee","14a5fc81","11a5f7c8","9699fd34","9599fba1","9499fa0e","1396f064","1496f1f7","1596f38a","1696f51d","a27088d4","a3708a67","a4708bfa","a1708741","9a707c3c","9b707dcf","a872d0dd","a772cf4a","a672cdb7","a572cc24","a472ca91","a372c8fe","a272c76b","a172c5d8"],"assistant_count_after":0,"new_assistant_fingerprints":[],"stop_visible":true,"generating":true,"candidate_counts":{"post_turn":{"total":0,"ready":0,"visible":0,"input":0,"eligible":0,"role":{"assistant":0,"user":0,"unknown":0}},"fresh":{"total":11,"ready":11,"visible":5,"input":2,"eligible":1,"role":{"assistant":0,"user":2,"unknown":9}}},"baseline_vs_fresh":{"baseline":79,"fresh":11},"chosen_attribution":"new_visible_fallback","decision_reason":null,"decision":{"post_turn":{"total":0,"ready":0,"visible":0,"input":0,"eligible":0,"role":{"assistant":0,"user":0,"unknown":0}},"post_turn_ids":[],"baseline_count":79,"fresh":{"total":11,"ready":11,"visible":5,"input":2,"eligible":1,"role":{"assistant":0,"user":2,"unknown":9}},"fresh_ids":[{"source_id":"6925e268","node_id":"0e75b006","role":"user","input":true,"visible":true,"ready":true},{"source_id":"4e6bb912","node_id":"0f75b199","role":"user","input":true,"visible":true,"ready":true},{"source_id":"0a0d42c7","node_id":"1377f67c","role":"unknown","input":false,"visible":true,"ready":true},{"source_id":"0a0d42c7","node_id":"1677fb35","role":"unknown","input":false,"visible":true,"ready":true},{"source_id":"0a0d42c7","node_id":"1577f9a2","role":"unknown","input":false,"visible":true,"ready":true},{"source_id":"9965d1cb","node_id":"1675bc9e","role":"unknown","input":false,"visible":false,"ready":true},{"source_id":"9965d1cb","node_id":"1775be31","role":"unknown","input":false,"visible":false,"ready":true},{"source_id":"9965d1cb","node_id":"1477f80f","role":"unknown","input":false,"visible":false,"ready":true}],"rejection_reason":null,"chosen":{"source_id":"0a0d42c7","node_id":"1377f67c","role":"unknown","input":false,"visible":true,"ready":true}}}</x:t>
        </x:is>
      </x:c>
      <x:c r="AF15" t="inlineStr">
        <x:is>
          <x:t>P08-S01-I001-S1-02A-F02.png</x:t>
        </x:is>
      </x:c>
      <x:c r="AG15" t="inlineStr">
        <x:is>
          <x:t>true</x:t>
        </x:is>
      </x:c>
      <x:c r="AH15" t="inlineStr">
        <x:is>
          <x:t>false</x:t>
        </x:is>
      </x:c>
      <x:c r="AI15" t="inlineStr">
        <x:is>
          <x:t>Authorized folder handle: Pilot-08 (absolute path unavailable)/P08-S01-I001-S1-02A-F02.png</x:t>
        </x:is>
      </x:c>
      <x:c r="AJ15" t="inlineStr">
        <x:is>
          <x:t/>
        </x:is>
      </x:c>
      <x:c r="AK15" t="inlineStr">
        <x:is>
          <x:t>2026-08-23T18:19:40.255Z</x:t>
        </x:is>
      </x:c>
      <x:c r="AL15" t="inlineStr">
        <x:is>
          <x:t>written</x:t>
        </x:is>
      </x:c>
      <x:c r="AM15" t="inlineStr">
        <x:is>
          <x:t>2026-08-23T18:20:01.505Z</x:t>
        </x:is>
      </x:c>
    </x:row>
    <x:row r="16" ht="405" customHeight="1">
      <x:c r="A16" s="25" t="n">
        <x:v>15</x:v>
      </x:c>
      <x:c r="B16" s="26" t="str">
        <x:v>P08-S01-I001-S1-02A-F03</x:v>
      </x:c>
      <x:c r="C16" s="27" t="str">
        <x:v>Create a storyboard concept still for Pilot 8 source clip I001-S1-02A, story 2A.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Meo and Bố are inside the Tiny World. Carpet fibers rise like grass. A giant leaf forms a gentle canopy. A clear round dewdrop rests on the leaf edge above a flat toy-path, magnifying and shifting the view of a red wooden block landmark beyond it.
Exact frozen action for this frame: Meo points to the real block, then to its displaced image inside the dewdrop. She signals Bố toward the small leaf-angle marks. the dewdrop still sits across their sightline, and the landmark remains visually displaced through it. End unresolved.
Preserve the visibly unresolved Part A end state; do not solve the problem early.
Camera: adapt this approved moving-shot direction into one readable still composition: one medium-wide side tracking shot at miniature ground level beside a giant green leaf. No cuts.
Visible physics/mechanism that must read correctly: the curved dewdrop refracts light, making the landmark appear shifted and enlarged; changing the leaf angle changes the viewing path through the drop.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6" s="28" t="str">
        <x:v>P08-S01-MEO-PRIMARY.REFERENCE.png|P08-S01-MEO-SECONDARY.REFERENCE.png|P08-S01-BO-FRONT.REFERENCE.jpg|P08-S01-BO-SIDE.REFERENCE.jpg</x:v>
      </x:c>
      <x:c r="E16" t="inlineStr">
        <x:is>
          <x:t>20260823-1738-pilot08-s01-image-queue</x:t>
        </x:is>
      </x:c>
      <x:c r="F16" t="inlineStr">
        <x:is>
          <x:t>Pilot08-S01.IMAGE-QUEUE__results__v{version}.xlsx</x:t>
        </x:is>
      </x:c>
      <x:c r="G16" t="inlineStr">
        <x:is>
          <x:t>Pilot08-S01.IMAGE-QUEUE__results__v01.xlsx</x:t>
        </x:is>
      </x:c>
      <x:c r="H16" t="inlineStr">
        <x:is>
          <x:t>Authorized folder handle: Pilot-08 (absolute path unavailable)</x:t>
        </x:is>
      </x:c>
      <x:c r="I16" t="inlineStr">
        <x:is>
          <x:t>Authorized folder handle: Pilot-08 (absolute path unavailable)/Pilot08-S01.IMAGE-QUEUE__results__v{version}.xlsx</x:t>
        </x:is>
      </x:c>
      <x:c r="J16" t="inlineStr">
        <x:is>
          <x:t>{job_id}</x:t>
        </x:is>
      </x:c>
      <x:c r="K16" t="inlineStr">
        <x:is>
          <x:t>uniquify</x:t>
        </x:is>
      </x:c>
      <x:c r="L16" t="inlineStr">
        <x:is>
          <x:t>true</x:t>
        </x:is>
      </x:c>
      <x:c r="M16" t="inlineStr">
        <x:is>
          <x:t>true</x:t>
        </x:is>
      </x:c>
      <x:c r="N16" t="inlineStr">
        <x:is>
          <x:t>true</x:t>
        </x:is>
      </x:c>
      <x:c r="O16" t="inlineStr">
        <x:is>
          <x:t/>
        </x:is>
      </x:c>
      <x:c r="P16" t="inlineStr">
        <x:is>
          <x:t>900</x:t>
        </x:is>
      </x:c>
      <x:c r="Q16" t="inlineStr">
        <x:is>
          <x:t>2</x:t>
        </x:is>
      </x:c>
      <x:c r="R16" t="inlineStr">
        <x:is>
          <x:t>8-12</x:t>
        </x:is>
      </x:c>
      <x:c r="S16" t="inlineStr">
        <x:is>
          <x:t>5</x:t>
        </x:is>
      </x:c>
      <x:c r="T16" t="inlineStr">
        <x:is>
          <x:t>false</x:t>
        </x:is>
      </x:c>
      <x:c r="U16" t="inlineStr">
        <x:is>
          <x:t>false</x:t>
        </x:is>
      </x:c>
      <x:c r="V16" t="inlineStr">
        <x:is>
          <x:t>SUCCESS</x:t>
        </x:is>
      </x:c>
      <x:c r="W16" t="inlineStr">
        <x:is>
          <x:t>SUCCESS</x:t>
        </x:is>
      </x:c>
      <x:c r="X16" t="inlineStr">
        <x:is>
          <x:t/>
        </x:is>
      </x:c>
      <x:c r="Y16" t="inlineStr">
        <x:is>
          <x:t/>
        </x:is>
      </x:c>
      <x:c r="Z16" t="inlineStr">
        <x:is>
          <x:t/>
        </x:is>
      </x:c>
      <x:c r="AA16" t="inlineStr">
        <x:is>
          <x:t>attempt-mt64umwo-7-qv5t9ayu</x:t>
        </x:is>
      </x:c>
      <x:c r="AB16" t="inlineStr">
        <x:is>
          <x:t>1</x:t>
        </x:is>
      </x:c>
      <x:c r="AC16" t="inlineStr">
        <x:is>
          <x:t>0</x:t>
        </x:is>
      </x:c>
      <x:c r="AD16" t="inlineStr">
        <x:is>
          <x:t>2026-08-23T18:20:45.226Z</x:t>
        </x:is>
      </x:c>
      <x:c r="AE16" t="inlineStr">
        <x:is>
          <x:t>{"assistant_count_before":0,"assistant_node_ids":[],"assistant_fingerprints":[],"baseline_image_count":92,"baseline_source_ids":["abe5f0b2","abe5f0b2","ce18858c","83026435","9e925c61","9e925c61","9e925c61","8178fd82","d2d94423","a2fba001","a2fba001","a2fba001","9a723c33","e4dfced3","b6065acd","7e4b86e0","1973f9b5","1973f9b5","1973f9b5","9a723c33","e4dfced3","0f1286b9","09ac3cda","71a4d305","71a4d305","71a4d305","9a723c33","e4dfced3","6dd521dc","64a7da8c","77c79e17","77c79e17","77c79e17","c0224c90","9c4359ab","24fa3670","e652cf61","fbf5a20a","fbf5a20a","fbf5a20a","9a723c33","e4dfced3","eef810bb","03cc3b45","f3061e53","f3061e53","f3061e53","9a723c33","e4dfced3","6b2a22de","962b78b9","a8fcb49f","a8fcb49f","a8fcb49f","9a723c33","e4dfced3","8dc3b5f1","5c770896","65204c50","65204c50","65204c50","9a723c33","e4dfced3","dbf129a8","28e521cf","9d9685db","9d9685db","9d9685db","9a723c33","e4dfced3","e37b4749","28e521cf","b7fcb0e6","b7fcb0e6","b7fcb0e6","9a723c33","e4dfced3","6925e268","4e6bb912","9965d1cb","9965d1cb","9965d1cb","9965d1cb","9965d1cb","9965d1cb","0a0d42c7","0a0d42c7","0a0d42c7","1cbd0c34","3d9f13a5","f2d2b8d9","ce40bc50"],"baseline_image_node_ids":["2d2e2954","302e2e0d","2f2e2c7a","2a2e249b","292e2308","2c2e27c1","2b2e262e","262e1e4f","252e1cbc","83ab286c","84ab29ff","85ab2b92","86ab2d25","7fab2220","80ab23b3","81ab2546","82ab26d9","8bab3504","8cab3697","15b2ca07","14b2c874","17b2cd2d","16b2cb9a","11b2c3bb","10b2c228","13b2c6e1","12b2c54e","0db2bd6f","0cb2bbdc","8fafb87e","90afba11","8dafb558","8eafb6eb","93afbeca","94afc05d","91afbba4","92afbd37","87afabe6","88afad79","11a3b931","14a3bdea","13a3bc57","12a3bac4","09a3ac99","08a3ab06","0ba17128","0ca172bb","11a17a9a","12a17c2d","03a16490","04a16623","83a8e9d5","82a8e842","85a8ecfb","16a5ffa7","13a5faee","14a5fc81","11a5f7c8","9699fd34","9599fba1","9499fa0e","1396f064","1496f1f7","1596f38a","1696f51d","a27088d4","a3708a67","a4708bfa","a1708741","9a707c3c","9b707dcf","a872d0dd","a772cf4a","a672cdb7","a572cc24","a072c445","9f72c2b2","0e75b006","0f75b199","1177f356","1c7804a7","1b780314","1675bc9e","1775be31","1477f80f","1077f1c3","0f77f030","1277f4e9","0a669f30","0b66a0c3","0c66a256","0d66a3e9"],"assistant_count_after":0,"new_assistant_fingerprints":[],"stop_visible":false,"generating":false,"candidate_counts":{"post_turn":{"total":0,"ready":0,"visible":0,"input":0,"eligible":0,"role":{"assistant":0,"user":0,"unknown":0}},"fresh":{"total":3,"ready":3,"visible":3,"input":0,"eligible":1,"role":{"assistant":0,"user":0,"unknown":3}}},"baseline_vs_fresh":{"baseline":92,"fresh":3},"chosen_attribution":"new_visible_fallback","decision_reason":null,"decision":{"post_turn":{"total":0,"ready":0,"visible":0,"input":0,"eligible":0,"role":{"assistant":0,"user":0,"unknown":0}},"post_turn_ids":[],"baseline_count":92,"fresh":{"total":3,"ready":3,"visible":3,"input":0,"eligible":1,"role":{"assistant":0,"user":0,"unknown":3}},"fresh_ids":[{"source_id":"6e43dbdc","node_id":"1266abc8","role":"unknown","input":false,"visible":true,"ready":true},{"source_id":"6e43dbdc","node_id":"1366ad5b","role":"unknown","input":false,"visible":true,"ready":true},{"source_id":"6e43dbdc","node_id":"1068e739","role":"unknown","input":false,"visible":true,"ready":true}],"rejection_reason":null,"chosen":{"source_id":"6e43dbdc","node_id":"1266abc8","role":"unknown","input":false,"visible":true,"ready":true}}}</x:t>
        </x:is>
      </x:c>
      <x:c r="AF16" t="inlineStr">
        <x:is>
          <x:t>P08-S01-I001-S1-02A-F03.png</x:t>
        </x:is>
      </x:c>
      <x:c r="AG16" t="inlineStr">
        <x:is>
          <x:t>true</x:t>
        </x:is>
      </x:c>
      <x:c r="AH16" t="inlineStr">
        <x:is>
          <x:t>false</x:t>
        </x:is>
      </x:c>
      <x:c r="AI16" t="inlineStr">
        <x:is>
          <x:t>Authorized folder handle: Pilot-08 (absolute path unavailable)/P08-S01-I001-S1-02A-F03.png</x:t>
        </x:is>
      </x:c>
      <x:c r="AJ16" t="inlineStr">
        <x:is>
          <x:t/>
        </x:is>
      </x:c>
      <x:c r="AK16" t="inlineStr">
        <x:is>
          <x:t>2026-08-23T18:22:44.987Z</x:t>
        </x:is>
      </x:c>
      <x:c r="AL16" t="inlineStr">
        <x:is>
          <x:t>written</x:t>
        </x:is>
      </x:c>
      <x:c r="AM16" t="inlineStr">
        <x:is>
          <x:t>2026-08-23T18:22:56.023Z</x:t>
        </x:is>
      </x:c>
    </x:row>
    <x:row r="17" ht="405" customHeight="1">
      <x:c r="A17" s="25" t="n">
        <x:v>16</x:v>
      </x:c>
      <x:c r="B17" s="26" t="str">
        <x:v>P08-S01-I001-S1-02B-F01</x:v>
      </x:c>
      <x:c r="C17" s="27" t="str">
        <x:v>Create a storyboard concept still for Pilot 8 source clip I001-S1-02B, story 2B.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dewdrop remains on the leaf across their sightline. The red wooden block looks displaced and enlarged through the drop. Bố holds the padded stem handle. Meo stands beside angle marks.
Exact frozen action for this frame: Meo points to the direct view of the block, then signals Bố to tilt the leaf slowly away from their sightline.
Show the opening physical state and every prop needed to understand the coming cause-and-effect.
Camera: adapt this approved moving-shot direction into one readable still composition: one medium-wide continuity shot from the same miniature path side, keeping the giant leaf, dewdrop, red block and stem handle visible. No cuts.
Visible physics/mechanism that must read correctly: changing the leaf angle moves the curved dewdrop out of the viewing line; without refracted light passing through it, the landmark appears in its true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7" s="28" t="str">
        <x:v>P08-S01-MEO-PRIMARY.REFERENCE.png|P08-S01-MEO-SECONDARY.REFERENCE.png|P08-S01-BO-FRONT.REFERENCE.jpg|P08-S01-BO-SIDE.REFERENCE.jpg</x:v>
      </x:c>
      <x:c r="E17" t="inlineStr">
        <x:is>
          <x:t>20260823-1738-pilot08-s01-image-queue</x:t>
        </x:is>
      </x:c>
      <x:c r="F17" t="inlineStr">
        <x:is>
          <x:t>Pilot08-S01.IMAGE-QUEUE__results__v{version}.xlsx</x:t>
        </x:is>
      </x:c>
      <x:c r="G17" t="inlineStr">
        <x:is>
          <x:t>Pilot08-S01.IMAGE-QUEUE__results__v01.xlsx</x:t>
        </x:is>
      </x:c>
      <x:c r="H17" t="inlineStr">
        <x:is>
          <x:t>Authorized folder handle: Pilot-08 (absolute path unavailable)</x:t>
        </x:is>
      </x:c>
      <x:c r="I17" t="inlineStr">
        <x:is>
          <x:t>Authorized folder handle: Pilot-08 (absolute path unavailable)/Pilot08-S01.IMAGE-QUEUE__results__v{version}.xlsx</x:t>
        </x:is>
      </x:c>
      <x:c r="J17" t="inlineStr">
        <x:is>
          <x:t>{job_id}</x:t>
        </x:is>
      </x:c>
      <x:c r="K17" t="inlineStr">
        <x:is>
          <x:t>uniquify</x:t>
        </x:is>
      </x:c>
      <x:c r="L17" t="inlineStr">
        <x:is>
          <x:t>true</x:t>
        </x:is>
      </x:c>
      <x:c r="M17" t="inlineStr">
        <x:is>
          <x:t>true</x:t>
        </x:is>
      </x:c>
      <x:c r="N17" t="inlineStr">
        <x:is>
          <x:t>true</x:t>
        </x:is>
      </x:c>
      <x:c r="O17" t="inlineStr">
        <x:is>
          <x:t/>
        </x:is>
      </x:c>
      <x:c r="P17" t="inlineStr">
        <x:is>
          <x:t>900</x:t>
        </x:is>
      </x:c>
      <x:c r="Q17" t="inlineStr">
        <x:is>
          <x:t>2</x:t>
        </x:is>
      </x:c>
      <x:c r="R17" t="inlineStr">
        <x:is>
          <x:t>8-12</x:t>
        </x:is>
      </x:c>
      <x:c r="S17" t="inlineStr">
        <x:is>
          <x:t>5</x:t>
        </x:is>
      </x:c>
      <x:c r="T17" t="inlineStr">
        <x:is>
          <x:t>false</x:t>
        </x:is>
      </x:c>
      <x:c r="U17" t="inlineStr">
        <x:is>
          <x:t>false</x:t>
        </x:is>
      </x:c>
    </x:row>
    <x:row r="18" ht="405" customHeight="1">
      <x:c r="A18" s="25" t="n">
        <x:v>17</x:v>
      </x:c>
      <x:c r="B18" s="26" t="str">
        <x:v>P08-S01-I001-S1-02B-F02</x:v>
      </x:c>
      <x:c r="C18" s="27" t="str">
        <x:v>Create a storyboard concept still for Pilot 8 source clip I001-S1-02B, story 2B.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dewdrop remains on the leaf across their sightline. The red wooden block looks displaced and enlarged through the drop. Bố holds the padded stem handle. Meo stands beside angle marks.
Exact frozen action for this frame: Bố lowers the handle through the safe arc. The leaf rotates gently, carrying the attached dewdrop sideways. Meo watches the distorted image slide away from the real block until the path can be seen directly without looking through the drop. The dewdrop stays on the leaf.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 path side, keeping the giant leaf, dewdrop, red block and stem handle visible. No cuts.
Visible physics/mechanism that must read correctly: changing the leaf angle moves the curved dewdrop out of the viewing line; without refracted light passing through it, the landmark appears in its true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8" s="28" t="str">
        <x:v>P08-S01-MEO-PRIMARY.REFERENCE.png|P08-S01-MEO-SECONDARY.REFERENCE.png|P08-S01-BO-FRONT.REFERENCE.jpg|P08-S01-BO-SIDE.REFERENCE.jpg</x:v>
      </x:c>
      <x:c r="E18" t="inlineStr">
        <x:is>
          <x:t>20260823-1738-pilot08-s01-image-queue</x:t>
        </x:is>
      </x:c>
      <x:c r="F18" t="inlineStr">
        <x:is>
          <x:t>Pilot08-S01.IMAGE-QUEUE__results__v{version}.xlsx</x:t>
        </x:is>
      </x:c>
      <x:c r="G18" t="inlineStr">
        <x:is>
          <x:t>Pilot08-S01.IMAGE-QUEUE__results__v01.xlsx</x:t>
        </x:is>
      </x:c>
      <x:c r="H18" t="inlineStr">
        <x:is>
          <x:t>Authorized folder handle: Pilot-08 (absolute path unavailable)</x:t>
        </x:is>
      </x:c>
      <x:c r="I18" t="inlineStr">
        <x:is>
          <x:t>Authorized folder handle: Pilot-08 (absolute path unavailable)/Pilot08-S01.IMAGE-QUEUE__results__v{version}.xlsx</x:t>
        </x:is>
      </x:c>
      <x:c r="J18" t="inlineStr">
        <x:is>
          <x:t>{job_id}</x:t>
        </x:is>
      </x:c>
      <x:c r="K18" t="inlineStr">
        <x:is>
          <x:t>uniquify</x:t>
        </x:is>
      </x:c>
      <x:c r="L18" t="inlineStr">
        <x:is>
          <x:t>true</x:t>
        </x:is>
      </x:c>
      <x:c r="M18" t="inlineStr">
        <x:is>
          <x:t>true</x:t>
        </x:is>
      </x:c>
      <x:c r="N18" t="inlineStr">
        <x:is>
          <x:t>true</x:t>
        </x:is>
      </x:c>
      <x:c r="O18" t="inlineStr">
        <x:is>
          <x:t/>
        </x:is>
      </x:c>
      <x:c r="P18" t="inlineStr">
        <x:is>
          <x:t>900</x:t>
        </x:is>
      </x:c>
      <x:c r="Q18" t="inlineStr">
        <x:is>
          <x:t>2</x:t>
        </x:is>
      </x:c>
      <x:c r="R18" t="inlineStr">
        <x:is>
          <x:t>8-12</x:t>
        </x:is>
      </x:c>
      <x:c r="S18" t="inlineStr">
        <x:is>
          <x:t>5</x:t>
        </x:is>
      </x:c>
      <x:c r="T18" t="inlineStr">
        <x:is>
          <x:t>false</x:t>
        </x:is>
      </x:c>
      <x:c r="U18" t="inlineStr">
        <x:is>
          <x:t>false</x:t>
        </x:is>
      </x:c>
    </x:row>
    <x:row r="19" ht="405" customHeight="1">
      <x:c r="A19" s="25" t="n">
        <x:v>18</x:v>
      </x:c>
      <x:c r="B19" s="26" t="str">
        <x:v>P08-S01-I001-S1-02B-F03</x:v>
      </x:c>
      <x:c r="C19" s="27" t="str">
        <x:v>Create a storyboard concept still for Pilot 8 source clip I001-S1-02B, story 2B.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dewdrop remains on the leaf across their sightline. The red wooden block looks displaced and enlarged through the drop. Bố holds the padded stem handle. Meo stands beside angle marks.
Exact frozen action for this frame: Meo signals stop when the landmark and path are clear. Bố locks the stem handle into a padded notch. the path is clear beneath the leaf. Meo says in Vietnamese, with a pleased five-year-old voice: “Bố ơi, giờ con nhìn rõ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 path side, keeping the giant leaf, dewdrop, red block and stem handle visible. No cuts.
Visible physics/mechanism that must read correctly: changing the leaf angle moves the curved dewdrop out of the viewing line; without refracted light passing through it, the landmark appears in its true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9" s="28" t="str">
        <x:v>P08-S01-MEO-PRIMARY.REFERENCE.png|P08-S01-MEO-SECONDARY.REFERENCE.png|P08-S01-BO-FRONT.REFERENCE.jpg|P08-S01-BO-SIDE.REFERENCE.jpg</x:v>
      </x:c>
      <x:c r="E19" t="inlineStr">
        <x:is>
          <x:t>20260823-1738-pilot08-s01-image-queue</x:t>
        </x:is>
      </x:c>
      <x:c r="F19" t="inlineStr">
        <x:is>
          <x:t>Pilot08-S01.IMAGE-QUEUE__results__v{version}.xlsx</x:t>
        </x:is>
      </x:c>
      <x:c r="G19" t="inlineStr">
        <x:is>
          <x:t>Pilot08-S01.IMAGE-QUEUE__results__v01.xlsx</x:t>
        </x:is>
      </x:c>
      <x:c r="H19" t="inlineStr">
        <x:is>
          <x:t>Authorized folder handle: Pilot-08 (absolute path unavailable)</x:t>
        </x:is>
      </x:c>
      <x:c r="I19" t="inlineStr">
        <x:is>
          <x:t>Authorized folder handle: Pilot-08 (absolute path unavailable)/Pilot08-S01.IMAGE-QUEUE__results__v{version}.xlsx</x:t>
        </x:is>
      </x:c>
      <x:c r="J19" t="inlineStr">
        <x:is>
          <x:t>{job_id}</x:t>
        </x:is>
      </x:c>
      <x:c r="K19" t="inlineStr">
        <x:is>
          <x:t>uniquify</x:t>
        </x:is>
      </x:c>
      <x:c r="L19" t="inlineStr">
        <x:is>
          <x:t>true</x:t>
        </x:is>
      </x:c>
      <x:c r="M19" t="inlineStr">
        <x:is>
          <x:t>true</x:t>
        </x:is>
      </x:c>
      <x:c r="N19" t="inlineStr">
        <x:is>
          <x:t>true</x:t>
        </x:is>
      </x:c>
      <x:c r="O19" t="inlineStr">
        <x:is>
          <x:t/>
        </x:is>
      </x:c>
      <x:c r="P19" t="inlineStr">
        <x:is>
          <x:t>900</x:t>
        </x:is>
      </x:c>
      <x:c r="Q19" t="inlineStr">
        <x:is>
          <x:t>2</x:t>
        </x:is>
      </x:c>
      <x:c r="R19" t="inlineStr">
        <x:is>
          <x:t>8-12</x:t>
        </x:is>
      </x:c>
      <x:c r="S19" t="inlineStr">
        <x:is>
          <x:t>5</x:t>
        </x:is>
      </x:c>
      <x:c r="T19" t="inlineStr">
        <x:is>
          <x:t>false</x:t>
        </x:is>
      </x:c>
      <x:c r="U19" t="inlineStr">
        <x:is>
          <x:t>false</x:t>
        </x:is>
      </x:c>
    </x:row>
    <x:row r="20" ht="405" customHeight="1">
      <x:c r="A20" s="25" t="n">
        <x:v>19</x:v>
      </x:c>
      <x:c r="B20" s="26" t="str">
        <x:v>P08-S01-I001-S1-03A-F01</x:v>
      </x:c>
      <x:c r="C20" s="27" t="str">
        <x:v>Create a storyboard concept still for Pilot 8 source clip I001-S1-03A, story 3A.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action for this frame: Bố gently lifts the roll upward. The tape stretches but barely releases.
Show the opening physical state and every prop needed to understand the coming cause-and-effect.
Camera: adapt this approved moving-shot direction into one readable still composition: one medium-wide miniature-ground three-quarter shot beside a giant roll of translucent removable craft tape. No cuts.
Visible physics/mechanism that must read correctly: peeling at a low angle concentrates separation along the adhesive boundary; pulling straight upward spreads force across more stuck surface and resists release.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0" s="28" t="str">
        <x:v>P08-S01-MEO-PRIMARY.REFERENCE.png|P08-S01-MEO-SECONDARY.REFERENCE.png|P08-S01-BO-FRONT.REFERENCE.jpg|P08-S01-BO-SIDE.REFERENCE.jpg</x:v>
      </x:c>
      <x:c r="E20" t="inlineStr">
        <x:is>
          <x:t>20260823-1738-pilot08-s01-image-queue</x:t>
        </x:is>
      </x:c>
      <x:c r="F20" t="inlineStr">
        <x:is>
          <x:t>Pilot08-S01.IMAGE-QUEUE__results__v{version}.xlsx</x:t>
        </x:is>
      </x:c>
      <x:c r="G20" t="inlineStr">
        <x:is>
          <x:t>Pilot08-S01.IMAGE-QUEUE__results__v01.xlsx</x:t>
        </x:is>
      </x:c>
      <x:c r="H20" t="inlineStr">
        <x:is>
          <x:t>Authorized folder handle: Pilot-08 (absolute path unavailable)</x:t>
        </x:is>
      </x:c>
      <x:c r="I20" t="inlineStr">
        <x:is>
          <x:t>Authorized folder handle: Pilot-08 (absolute path unavailable)/Pilot08-S01.IMAGE-QUEUE__results__v{version}.xlsx</x:t>
        </x:is>
      </x:c>
      <x:c r="J20" t="inlineStr">
        <x:is>
          <x:t>{job_id}</x:t>
        </x:is>
      </x:c>
      <x:c r="K20" t="inlineStr">
        <x:is>
          <x:t>uniquify</x:t>
        </x:is>
      </x:c>
      <x:c r="L20" t="inlineStr">
        <x:is>
          <x:t>true</x:t>
        </x:is>
      </x:c>
      <x:c r="M20" t="inlineStr">
        <x:is>
          <x:t>true</x:t>
        </x:is>
      </x:c>
      <x:c r="N20" t="inlineStr">
        <x:is>
          <x:t>true</x:t>
        </x:is>
      </x:c>
      <x:c r="O20" t="inlineStr">
        <x:is>
          <x:t/>
        </x:is>
      </x:c>
      <x:c r="P20" t="inlineStr">
        <x:is>
          <x:t>900</x:t>
        </x:is>
      </x:c>
      <x:c r="Q20" t="inlineStr">
        <x:is>
          <x:t>2</x:t>
        </x:is>
      </x:c>
      <x:c r="R20" t="inlineStr">
        <x:is>
          <x:t>8-12</x:t>
        </x:is>
      </x:c>
      <x:c r="S20" t="inlineStr">
        <x:is>
          <x:t>5</x:t>
        </x:is>
      </x:c>
      <x:c r="T20" t="inlineStr">
        <x:is>
          <x:t>false</x:t>
        </x:is>
      </x:c>
      <x:c r="U20" t="inlineStr">
        <x:is>
          <x:t>false</x:t>
        </x:is>
      </x:c>
    </x:row>
    <x:row r="21" ht="405" customHeight="1">
      <x:c r="A21" s="25" t="n">
        <x:v>20</x:v>
      </x:c>
      <x:c r="B21" s="26" t="str">
        <x:v>P08-S01-I001-S1-03A-F02</x:v>
      </x:c>
      <x:c r="C21" s="27" t="str">
        <x:v>Create a storyboard concept still for Pilot 8 source clip I001-S1-03A, story 3A.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action for this frame: he lowers the roll and pulls at a shallower angle. A short section peels smoothly along the carpet surface, then stops when the angle becomes steep again. Meo compares the two attempts and watches the peel line move only during the low-angle pull. The adhesive remains on the tape, away from hands and clothing.
Freeze the clearest instant of the main cause-and-effect action. Make Meo's observation and Bố's indispensable physical action simultaneously readable.
Camera: adapt this approved moving-shot direction into one readable still composition: one medium-wide miniature-ground three-quarter shot beside a giant roll of translucent removable craft tape. No cuts.
Visible physics/mechanism that must read correctly: peeling at a low angle concentrates separation along the adhesive boundary; pulling straight upward spreads force across more stuck surface and resists release.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1" s="28" t="str">
        <x:v>P08-S01-MEO-PRIMARY.REFERENCE.png|P08-S01-MEO-SECONDARY.REFERENCE.png|P08-S01-BO-FRONT.REFERENCE.jpg|P08-S01-BO-SIDE.REFERENCE.jpg</x:v>
      </x:c>
      <x:c r="E21" t="inlineStr">
        <x:is>
          <x:t>20260823-1738-pilot08-s01-image-queue</x:t>
        </x:is>
      </x:c>
      <x:c r="F21" t="inlineStr">
        <x:is>
          <x:t>Pilot08-S01.IMAGE-QUEUE__results__v{version}.xlsx</x:t>
        </x:is>
      </x:c>
      <x:c r="G21" t="inlineStr">
        <x:is>
          <x:t>Pilot08-S01.IMAGE-QUEUE__results__v01.xlsx</x:t>
        </x:is>
      </x:c>
      <x:c r="H21" t="inlineStr">
        <x:is>
          <x:t>Authorized folder handle: Pilot-08 (absolute path unavailable)</x:t>
        </x:is>
      </x:c>
      <x:c r="I21" t="inlineStr">
        <x:is>
          <x:t>Authorized folder handle: Pilot-08 (absolute path unavailable)/Pilot08-S01.IMAGE-QUEUE__results__v{version}.xlsx</x:t>
        </x:is>
      </x:c>
      <x:c r="J21" t="inlineStr">
        <x:is>
          <x:t>{job_id}</x:t>
        </x:is>
      </x:c>
      <x:c r="K21" t="inlineStr">
        <x:is>
          <x:t>uniquify</x:t>
        </x:is>
      </x:c>
      <x:c r="L21" t="inlineStr">
        <x:is>
          <x:t>true</x:t>
        </x:is>
      </x:c>
      <x:c r="M21" t="inlineStr">
        <x:is>
          <x:t>true</x:t>
        </x:is>
      </x:c>
      <x:c r="N21" t="inlineStr">
        <x:is>
          <x:t>true</x:t>
        </x:is>
      </x:c>
      <x:c r="O21" t="inlineStr">
        <x:is>
          <x:t/>
        </x:is>
      </x:c>
      <x:c r="P21" t="inlineStr">
        <x:is>
          <x:t>900</x:t>
        </x:is>
      </x:c>
      <x:c r="Q21" t="inlineStr">
        <x:is>
          <x:t>2</x:t>
        </x:is>
      </x:c>
      <x:c r="R21" t="inlineStr">
        <x:is>
          <x:t>8-12</x:t>
        </x:is>
      </x:c>
      <x:c r="S21" t="inlineStr">
        <x:is>
          <x:t>5</x:t>
        </x:is>
      </x:c>
      <x:c r="T21" t="inlineStr">
        <x:is>
          <x:t>false</x:t>
        </x:is>
      </x:c>
      <x:c r="U21" t="inlineStr">
        <x:is>
          <x:t>false</x:t>
        </x:is>
      </x:c>
    </x:row>
    <x:row r="22" ht="405" customHeight="1">
      <x:c r="A22" s="25" t="n">
        <x:v>21</x:v>
      </x:c>
      <x:c r="B22" s="26" t="str">
        <x:v>P08-S01-I001-S1-03A-F03</x:v>
      </x:c>
      <x:c r="C22" s="27" t="str">
        <x:v>Create a storyboard concept still for Pilot 8 source clip I001-S1-03A, story 3A.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action for this frame: Meo points along the carpet-level direction and traces the moving peel line beside, not on, the sticky edge. Bố keeps the roll still at the low angle. part of the tunnel edge is free, but the remaining strip is still attached. End unresolved.
Preserve the visibly unresolved Part A end state; do not solve the problem early.
Camera: adapt this approved moving-shot direction into one readable still composition: one medium-wide miniature-ground three-quarter shot beside a giant roll of translucent removable craft tape. No cuts.
Visible physics/mechanism that must read correctly: peeling at a low angle concentrates separation along the adhesive boundary; pulling straight upward spreads force across more stuck surface and resists release.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2" s="28" t="str">
        <x:v>P08-S01-MEO-PRIMARY.REFERENCE.png|P08-S01-MEO-SECONDARY.REFERENCE.png|P08-S01-BO-FRONT.REFERENCE.jpg|P08-S01-BO-SIDE.REFERENCE.jpg</x:v>
      </x:c>
      <x:c r="E22" t="inlineStr">
        <x:is>
          <x:t>20260823-1738-pilot08-s01-image-queue</x:t>
        </x:is>
      </x:c>
      <x:c r="F22" t="inlineStr">
        <x:is>
          <x:t>Pilot08-S01.IMAGE-QUEUE__results__v{version}.xlsx</x:t>
        </x:is>
      </x:c>
      <x:c r="G22" t="inlineStr">
        <x:is>
          <x:t>Pilot08-S01.IMAGE-QUEUE__results__v01.xlsx</x:t>
        </x:is>
      </x:c>
      <x:c r="H22" t="inlineStr">
        <x:is>
          <x:t>Authorized folder handle: Pilot-08 (absolute path unavailable)</x:t>
        </x:is>
      </x:c>
      <x:c r="I22" t="inlineStr">
        <x:is>
          <x:t>Authorized folder handle: Pilot-08 (absolute path unavailable)/Pilot08-S01.IMAGE-QUEUE__results__v{version}.xlsx</x:t>
        </x:is>
      </x:c>
      <x:c r="J22" t="inlineStr">
        <x:is>
          <x:t>{job_id}</x:t>
        </x:is>
      </x:c>
      <x:c r="K22" t="inlineStr">
        <x:is>
          <x:t>uniquify</x:t>
        </x:is>
      </x:c>
      <x:c r="L22" t="inlineStr">
        <x:is>
          <x:t>true</x:t>
        </x:is>
      </x:c>
      <x:c r="M22" t="inlineStr">
        <x:is>
          <x:t>true</x:t>
        </x:is>
      </x:c>
      <x:c r="N22" t="inlineStr">
        <x:is>
          <x:t>true</x:t>
        </x:is>
      </x:c>
      <x:c r="O22" t="inlineStr">
        <x:is>
          <x:t/>
        </x:is>
      </x:c>
      <x:c r="P22" t="inlineStr">
        <x:is>
          <x:t>900</x:t>
        </x:is>
      </x:c>
      <x:c r="Q22" t="inlineStr">
        <x:is>
          <x:t>2</x:t>
        </x:is>
      </x:c>
      <x:c r="R22" t="inlineStr">
        <x:is>
          <x:t>8-12</x:t>
        </x:is>
      </x:c>
      <x:c r="S22" t="inlineStr">
        <x:is>
          <x:t>5</x:t>
        </x:is>
      </x:c>
      <x:c r="T22" t="inlineStr">
        <x:is>
          <x:t>false</x:t>
        </x:is>
      </x:c>
      <x:c r="U22" t="inlineStr">
        <x:is>
          <x:t>false</x:t>
        </x:is>
      </x:c>
    </x:row>
    <x:row r="23" ht="405" customHeight="1">
      <x:c r="A23" s="25" t="n">
        <x:v>22</x:v>
      </x:c>
      <x:c r="B23" s="26" t="str">
        <x:v>P08-S01-I001-S1-03B-F01</x:v>
      </x:c>
      <x:c r="C23" s="27" t="str">
        <x:v>Create a storyboard concept still for Pilot 8 source clip I001-S1-03B, story 3B.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translucent tape tunnel arches over the toy path. Part of its lower edge is free; the remaining strip is attached to carpet fibers. Bố holds the padded roll handle low. Meo stands beside the peel line.
Exact frozen action for this frame: Meo points forward along the carpet-level direction and signals Bố to keep the roll low.
Show the opening physical state and every prop needed to understand the coming cause-and-effect.
Camera: adapt this approved moving-shot direction into one readable still composition: one medium-wide continuity shot from the same miniature-ground angle, keeping the giant tape roll, stuck edge and clear tunnel visible. No cuts.
Visible physics/mechanism that must read correctly: a shallow peel angle concentrates separation at the moving adhesive boundary, allowing the tape to release progressively instead of resisting across a broad area.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3" s="28" t="str">
        <x:v>P08-S01-MEO-PRIMARY.REFERENCE.png|P08-S01-MEO-SECONDARY.REFERENCE.png|P08-S01-BO-FRONT.REFERENCE.jpg|P08-S01-BO-SIDE.REFERENCE.jpg</x:v>
      </x:c>
      <x:c r="E23" t="inlineStr">
        <x:is>
          <x:t>20260823-1738-pilot08-s01-image-queue</x:t>
        </x:is>
      </x:c>
      <x:c r="F23" t="inlineStr">
        <x:is>
          <x:t>Pilot08-S01.IMAGE-QUEUE__results__v{version}.xlsx</x:t>
        </x:is>
      </x:c>
      <x:c r="G23" t="inlineStr">
        <x:is>
          <x:t>Pilot08-S01.IMAGE-QUEUE__results__v01.xlsx</x:t>
        </x:is>
      </x:c>
      <x:c r="H23" t="inlineStr">
        <x:is>
          <x:t>Authorized folder handle: Pilot-08 (absolute path unavailable)</x:t>
        </x:is>
      </x:c>
      <x:c r="I23" t="inlineStr">
        <x:is>
          <x:t>Authorized folder handle: Pilot-08 (absolute path unavailable)/Pilot08-S01.IMAGE-QUEUE__results__v{version}.xlsx</x:t>
        </x:is>
      </x:c>
      <x:c r="J23" t="inlineStr">
        <x:is>
          <x:t>{job_id}</x:t>
        </x:is>
      </x:c>
      <x:c r="K23" t="inlineStr">
        <x:is>
          <x:t>uniquify</x:t>
        </x:is>
      </x:c>
      <x:c r="L23" t="inlineStr">
        <x:is>
          <x:t>true</x:t>
        </x:is>
      </x:c>
      <x:c r="M23" t="inlineStr">
        <x:is>
          <x:t>true</x:t>
        </x:is>
      </x:c>
      <x:c r="N23" t="inlineStr">
        <x:is>
          <x:t>true</x:t>
        </x:is>
      </x:c>
      <x:c r="O23" t="inlineStr">
        <x:is>
          <x:t/>
        </x:is>
      </x:c>
      <x:c r="P23" t="inlineStr">
        <x:is>
          <x:t>900</x:t>
        </x:is>
      </x:c>
      <x:c r="Q23" t="inlineStr">
        <x:is>
          <x:t>2</x:t>
        </x:is>
      </x:c>
      <x:c r="R23" t="inlineStr">
        <x:is>
          <x:t>8-12</x:t>
        </x:is>
      </x:c>
      <x:c r="S23" t="inlineStr">
        <x:is>
          <x:t>5</x:t>
        </x:is>
      </x:c>
      <x:c r="T23" t="inlineStr">
        <x:is>
          <x:t>false</x:t>
        </x:is>
      </x:c>
      <x:c r="U23" t="inlineStr">
        <x:is>
          <x:t>false</x:t>
        </x:is>
      </x:c>
    </x:row>
    <x:row r="24" ht="405" customHeight="1">
      <x:c r="A24" s="25" t="n">
        <x:v>23</x:v>
      </x:c>
      <x:c r="B24" s="26" t="str">
        <x:v>P08-S01-I001-S1-03B-F02</x:v>
      </x:c>
      <x:c r="C24" s="27" t="str">
        <x:v>Create a storyboard concept still for Pilot 8 source clip I001-S1-03B, story 3B.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translucent tape tunnel arches over the toy path. Part of its lower edge is free; the remaining strip is attached to carpet fibers. Bố holds the padded roll handle low. Meo stands beside the peel line.
Exact frozen action for this frame: Bố pulls the roll slowly parallel to the ground with gentle tension. The peel line travels steadily along the stuck edge. Meo walks beside the non-sticky side and signals as fibers release. The tunnel keeps its arch while the adhesive edge separates without snapping.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miniature-ground angle, keeping the giant tape roll, stuck edge and clear tunnel visible. No cuts.
Visible physics/mechanism that must read correctly: a shallow peel angle concentrates separation at the moving adhesive boundary, allowing the tape to release progressively instead of resisting across a broad area.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4" s="28" t="str">
        <x:v>P08-S01-MEO-PRIMARY.REFERENCE.png|P08-S01-MEO-SECONDARY.REFERENCE.png|P08-S01-BO-FRONT.REFERENCE.jpg|P08-S01-BO-SIDE.REFERENCE.jpg</x:v>
      </x:c>
      <x:c r="E24" t="inlineStr">
        <x:is>
          <x:t>20260823-1738-pilot08-s01-image-queue</x:t>
        </x:is>
      </x:c>
      <x:c r="F24" t="inlineStr">
        <x:is>
          <x:t>Pilot08-S01.IMAGE-QUEUE__results__v{version}.xlsx</x:t>
        </x:is>
      </x:c>
      <x:c r="G24" t="inlineStr">
        <x:is>
          <x:t>Pilot08-S01.IMAGE-QUEUE__results__v01.xlsx</x:t>
        </x:is>
      </x:c>
      <x:c r="H24" t="inlineStr">
        <x:is>
          <x:t>Authorized folder handle: Pilot-08 (absolute path unavailable)</x:t>
        </x:is>
      </x:c>
      <x:c r="I24" t="inlineStr">
        <x:is>
          <x:t>Authorized folder handle: Pilot-08 (absolute path unavailable)/Pilot08-S01.IMAGE-QUEUE__results__v{version}.xlsx</x:t>
        </x:is>
      </x:c>
      <x:c r="J24" t="inlineStr">
        <x:is>
          <x:t>{job_id}</x:t>
        </x:is>
      </x:c>
      <x:c r="K24" t="inlineStr">
        <x:is>
          <x:t>uniquify</x:t>
        </x:is>
      </x:c>
      <x:c r="L24" t="inlineStr">
        <x:is>
          <x:t>true</x:t>
        </x:is>
      </x:c>
      <x:c r="M24" t="inlineStr">
        <x:is>
          <x:t>true</x:t>
        </x:is>
      </x:c>
      <x:c r="N24" t="inlineStr">
        <x:is>
          <x:t>true</x:t>
        </x:is>
      </x:c>
      <x:c r="O24" t="inlineStr">
        <x:is>
          <x:t/>
        </x:is>
      </x:c>
      <x:c r="P24" t="inlineStr">
        <x:is>
          <x:t>900</x:t>
        </x:is>
      </x:c>
      <x:c r="Q24" t="inlineStr">
        <x:is>
          <x:t>2</x:t>
        </x:is>
      </x:c>
      <x:c r="R24" t="inlineStr">
        <x:is>
          <x:t>8-12</x:t>
        </x:is>
      </x:c>
      <x:c r="S24" t="inlineStr">
        <x:is>
          <x:t>5</x:t>
        </x:is>
      </x:c>
      <x:c r="T24" t="inlineStr">
        <x:is>
          <x:t>false</x:t>
        </x:is>
      </x:c>
      <x:c r="U24" t="inlineStr">
        <x:is>
          <x:t>false</x:t>
        </x:is>
      </x:c>
    </x:row>
    <x:row r="25" ht="405" customHeight="1">
      <x:c r="A25" s="25" t="n">
        <x:v>24</x:v>
      </x:c>
      <x:c r="B25" s="26" t="str">
        <x:v>P08-S01-I001-S1-03B-F03</x:v>
      </x:c>
      <x:c r="C25" s="27" t="str">
        <x:v>Create a storyboard concept still for Pilot 8 source clip I001-S1-03B, story 3B.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translucent tape tunnel arches over the toy path. Part of its lower edge is free; the remaining strip is attached to carpet fibers. Bố holds the padded roll handle low. Meo stands beside the peel line.
Exact frozen action for this frame: when the final stuck section releases, Meo signals stop. Bố seats the roll handle into a padded holder so the tunnel stays open. colored light shines through the translucent tunnel. Meo says in Vietnamese, with a delighted five-year-old voice: “Bố ơi, đường hầm mở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miniature-ground angle, keeping the giant tape roll, stuck edge and clear tunnel visible. No cuts.
Visible physics/mechanism that must read correctly: a shallow peel angle concentrates separation at the moving adhesive boundary, allowing the tape to release progressively instead of resisting across a broad area.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5" s="28" t="str">
        <x:v>P08-S01-MEO-PRIMARY.REFERENCE.png|P08-S01-MEO-SECONDARY.REFERENCE.png|P08-S01-BO-FRONT.REFERENCE.jpg|P08-S01-BO-SIDE.REFERENCE.jpg</x:v>
      </x:c>
      <x:c r="E25" t="inlineStr">
        <x:is>
          <x:t>20260823-1738-pilot08-s01-image-queue</x:t>
        </x:is>
      </x:c>
      <x:c r="F25" t="inlineStr">
        <x:is>
          <x:t>Pilot08-S01.IMAGE-QUEUE__results__v{version}.xlsx</x:t>
        </x:is>
      </x:c>
      <x:c r="G25" t="inlineStr">
        <x:is>
          <x:t>Pilot08-S01.IMAGE-QUEUE__results__v01.xlsx</x:t>
        </x:is>
      </x:c>
      <x:c r="H25" t="inlineStr">
        <x:is>
          <x:t>Authorized folder handle: Pilot-08 (absolute path unavailable)</x:t>
        </x:is>
      </x:c>
      <x:c r="I25" t="inlineStr">
        <x:is>
          <x:t>Authorized folder handle: Pilot-08 (absolute path unavailable)/Pilot08-S01.IMAGE-QUEUE__results__v{version}.xlsx</x:t>
        </x:is>
      </x:c>
      <x:c r="J25" t="inlineStr">
        <x:is>
          <x:t>{job_id}</x:t>
        </x:is>
      </x:c>
      <x:c r="K25" t="inlineStr">
        <x:is>
          <x:t>uniquify</x:t>
        </x:is>
      </x:c>
      <x:c r="L25" t="inlineStr">
        <x:is>
          <x:t>true</x:t>
        </x:is>
      </x:c>
      <x:c r="M25" t="inlineStr">
        <x:is>
          <x:t>true</x:t>
        </x:is>
      </x:c>
      <x:c r="N25" t="inlineStr">
        <x:is>
          <x:t>true</x:t>
        </x:is>
      </x:c>
      <x:c r="O25" t="inlineStr">
        <x:is>
          <x:t/>
        </x:is>
      </x:c>
      <x:c r="P25" t="inlineStr">
        <x:is>
          <x:t>900</x:t>
        </x:is>
      </x:c>
      <x:c r="Q25" t="inlineStr">
        <x:is>
          <x:t>2</x:t>
        </x:is>
      </x:c>
      <x:c r="R25" t="inlineStr">
        <x:is>
          <x:t>8-12</x:t>
        </x:is>
      </x:c>
      <x:c r="S25" t="inlineStr">
        <x:is>
          <x:t>5</x:t>
        </x:is>
      </x:c>
      <x:c r="T25" t="inlineStr">
        <x:is>
          <x:t>false</x:t>
        </x:is>
      </x:c>
      <x:c r="U25" t="inlineStr">
        <x:is>
          <x:t>false</x:t>
        </x:is>
      </x:c>
    </x:row>
    <x:row r="26" ht="405" customHeight="1">
      <x:c r="A26" s="25" t="n">
        <x:v>25</x:v>
      </x:c>
      <x:c r="B26" s="26" t="str">
        <x:v>P08-S01-I001-S1-04A-F01</x:v>
      </x:c>
      <x:c r="C26" s="27" t="str">
        <x:v>Create a storyboard concept still for Pilot 8 source clip I001-S1-04A, story 4A.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action for this frame: Bố gently pulls the two handles apart. The ribbon straightens lengthwise but the half twist remains.
Show the opening physical state and every prop needed to understand the coming cause-and-effect.
Camera: adapt this approved moving-shot direction into one readable still composition: one medium-wide side tracking shot along a giant satin ribbon laid across a stable toy-block plaza in the Tiny World. No cuts.
Visible physics/mechanism that must read correctly: a half twist stores torsion in the flexible ribbon; rotating one end in the opposite direction moves and removes that twist so the broad surface can lie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6" s="28" t="str">
        <x:v>P08-S01-MEO-PRIMARY.REFERENCE.png|P08-S01-MEO-SECONDARY.REFERENCE.png|P08-S01-BO-FRONT.REFERENCE.jpg|P08-S01-BO-SIDE.REFERENCE.jpg</x:v>
      </x:c>
      <x:c r="E26" t="inlineStr">
        <x:is>
          <x:t>20260823-1738-pilot08-s01-image-queue</x:t>
        </x:is>
      </x:c>
      <x:c r="F26" t="inlineStr">
        <x:is>
          <x:t>Pilot08-S01.IMAGE-QUEUE__results__v{version}.xlsx</x:t>
        </x:is>
      </x:c>
      <x:c r="G26" t="inlineStr">
        <x:is>
          <x:t>Pilot08-S01.IMAGE-QUEUE__results__v01.xlsx</x:t>
        </x:is>
      </x:c>
      <x:c r="H26" t="inlineStr">
        <x:is>
          <x:t>Authorized folder handle: Pilot-08 (absolute path unavailable)</x:t>
        </x:is>
      </x:c>
      <x:c r="I26" t="inlineStr">
        <x:is>
          <x:t>Authorized folder handle: Pilot-08 (absolute path unavailable)/Pilot08-S01.IMAGE-QUEUE__results__v{version}.xlsx</x:t>
        </x:is>
      </x:c>
      <x:c r="J26" t="inlineStr">
        <x:is>
          <x:t>{job_id}</x:t>
        </x:is>
      </x:c>
      <x:c r="K26" t="inlineStr">
        <x:is>
          <x:t>uniquify</x:t>
        </x:is>
      </x:c>
      <x:c r="L26" t="inlineStr">
        <x:is>
          <x:t>true</x:t>
        </x:is>
      </x:c>
      <x:c r="M26" t="inlineStr">
        <x:is>
          <x:t>true</x:t>
        </x:is>
      </x:c>
      <x:c r="N26" t="inlineStr">
        <x:is>
          <x:t>true</x:t>
        </x:is>
      </x:c>
      <x:c r="O26" t="inlineStr">
        <x:is>
          <x:t/>
        </x:is>
      </x:c>
      <x:c r="P26" t="inlineStr">
        <x:is>
          <x:t>900</x:t>
        </x:is>
      </x:c>
      <x:c r="Q26" t="inlineStr">
        <x:is>
          <x:t>2</x:t>
        </x:is>
      </x:c>
      <x:c r="R26" t="inlineStr">
        <x:is>
          <x:t>8-12</x:t>
        </x:is>
      </x:c>
      <x:c r="S26" t="inlineStr">
        <x:is>
          <x:t>5</x:t>
        </x:is>
      </x:c>
      <x:c r="T26" t="inlineStr">
        <x:is>
          <x:t>false</x:t>
        </x:is>
      </x:c>
      <x:c r="U26" t="inlineStr">
        <x:is>
          <x:t>false</x:t>
        </x:is>
      </x:c>
    </x:row>
    <x:row r="27" ht="405" customHeight="1">
      <x:c r="A27" s="25" t="n">
        <x:v>26</x:v>
      </x:c>
      <x:c r="B27" s="26" t="str">
        <x:v>P08-S01-I001-S1-04A-F02</x:v>
      </x:c>
      <x:c r="C27" s="27" t="str">
        <x:v>Create a storyboard concept still for Pilot 8 source clip I001-S1-04A, story 4A.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action for this frame: Bố rotates one end slightly clockwise, then back. The upright edge changes sides as the twist travels along the ribbon. Meo watches the printed arrows vanish under the twisted section and reappear when the ribbon approaches flat. She compares them with matching arrow marks on the ground.
Freeze the clearest instant of the main cause-and-effect action. Make Meo's observation and Bố's indispensable physical action simultaneously readable.
Camera: adapt this approved moving-shot direction into one readable still composition: one medium-wide side tracking shot along a giant satin ribbon laid across a stable toy-block plaza in the Tiny World. No cuts.
Visible physics/mechanism that must read correctly: a half twist stores torsion in the flexible ribbon; rotating one end in the opposite direction moves and removes that twist so the broad surface can lie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7" s="28" t="str">
        <x:v>P08-S01-MEO-PRIMARY.REFERENCE.png|P08-S01-MEO-SECONDARY.REFERENCE.png|P08-S01-BO-FRONT.REFERENCE.jpg|P08-S01-BO-SIDE.REFERENCE.jpg</x:v>
      </x:c>
      <x:c r="E27" t="inlineStr">
        <x:is>
          <x:t>20260823-1738-pilot08-s01-image-queue</x:t>
        </x:is>
      </x:c>
      <x:c r="F27" t="inlineStr">
        <x:is>
          <x:t>Pilot08-S01.IMAGE-QUEUE__results__v{version}.xlsx</x:t>
        </x:is>
      </x:c>
      <x:c r="G27" t="inlineStr">
        <x:is>
          <x:t>Pilot08-S01.IMAGE-QUEUE__results__v01.xlsx</x:t>
        </x:is>
      </x:c>
      <x:c r="H27" t="inlineStr">
        <x:is>
          <x:t>Authorized folder handle: Pilot-08 (absolute path unavailable)</x:t>
        </x:is>
      </x:c>
      <x:c r="I27" t="inlineStr">
        <x:is>
          <x:t>Authorized folder handle: Pilot-08 (absolute path unavailable)/Pilot08-S01.IMAGE-QUEUE__results__v{version}.xlsx</x:t>
        </x:is>
      </x:c>
      <x:c r="J27" t="inlineStr">
        <x:is>
          <x:t>{job_id}</x:t>
        </x:is>
      </x:c>
      <x:c r="K27" t="inlineStr">
        <x:is>
          <x:t>uniquify</x:t>
        </x:is>
      </x:c>
      <x:c r="L27" t="inlineStr">
        <x:is>
          <x:t>true</x:t>
        </x:is>
      </x:c>
      <x:c r="M27" t="inlineStr">
        <x:is>
          <x:t>true</x:t>
        </x:is>
      </x:c>
      <x:c r="N27" t="inlineStr">
        <x:is>
          <x:t>true</x:t>
        </x:is>
      </x:c>
      <x:c r="O27" t="inlineStr">
        <x:is>
          <x:t/>
        </x:is>
      </x:c>
      <x:c r="P27" t="inlineStr">
        <x:is>
          <x:t>900</x:t>
        </x:is>
      </x:c>
      <x:c r="Q27" t="inlineStr">
        <x:is>
          <x:t>2</x:t>
        </x:is>
      </x:c>
      <x:c r="R27" t="inlineStr">
        <x:is>
          <x:t>8-12</x:t>
        </x:is>
      </x:c>
      <x:c r="S27" t="inlineStr">
        <x:is>
          <x:t>5</x:t>
        </x:is>
      </x:c>
      <x:c r="T27" t="inlineStr">
        <x:is>
          <x:t>false</x:t>
        </x:is>
      </x:c>
      <x:c r="U27" t="inlineStr">
        <x:is>
          <x:t>false</x:t>
        </x:is>
      </x:c>
    </x:row>
    <x:row r="28" ht="405" customHeight="1">
      <x:c r="A28" s="25" t="n">
        <x:v>27</x:v>
      </x:c>
      <x:c r="B28" s="26" t="str">
        <x:v>P08-S01-I001-S1-04A-F03</x:v>
      </x:c>
      <x:c r="C28" s="27" t="str">
        <x:v>Create a storyboard concept still for Pilot 8 source clip I001-S1-04A, story 4A.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action for this frame: Meo points to the direction that makes the printed arrows face upward together. Bố holds both handles still with the twist gathered in the middle. the ribbon remains partly twisted, with one short section still standing on edge. End unresolved.
Preserve the visibly unresolved Part A end state; do not solve the problem early.
Camera: adapt this approved moving-shot direction into one readable still composition: one medium-wide side tracking shot along a giant satin ribbon laid across a stable toy-block plaza in the Tiny World. No cuts.
Visible physics/mechanism that must read correctly: a half twist stores torsion in the flexible ribbon; rotating one end in the opposite direction moves and removes that twist so the broad surface can lie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8" s="28" t="str">
        <x:v>P08-S01-MEO-PRIMARY.REFERENCE.png|P08-S01-MEO-SECONDARY.REFERENCE.png|P08-S01-BO-FRONT.REFERENCE.jpg|P08-S01-BO-SIDE.REFERENCE.jpg</x:v>
      </x:c>
      <x:c r="E28" t="inlineStr">
        <x:is>
          <x:t>20260823-1738-pilot08-s01-image-queue</x:t>
        </x:is>
      </x:c>
      <x:c r="F28" t="inlineStr">
        <x:is>
          <x:t>Pilot08-S01.IMAGE-QUEUE__results__v{version}.xlsx</x:t>
        </x:is>
      </x:c>
      <x:c r="G28" t="inlineStr">
        <x:is>
          <x:t>Pilot08-S01.IMAGE-QUEUE__results__v01.xlsx</x:t>
        </x:is>
      </x:c>
      <x:c r="H28" t="inlineStr">
        <x:is>
          <x:t>Authorized folder handle: Pilot-08 (absolute path unavailable)</x:t>
        </x:is>
      </x:c>
      <x:c r="I28" t="inlineStr">
        <x:is>
          <x:t>Authorized folder handle: Pilot-08 (absolute path unavailable)/Pilot08-S01.IMAGE-QUEUE__results__v{version}.xlsx</x:t>
        </x:is>
      </x:c>
      <x:c r="J28" t="inlineStr">
        <x:is>
          <x:t>{job_id}</x:t>
        </x:is>
      </x:c>
      <x:c r="K28" t="inlineStr">
        <x:is>
          <x:t>uniquify</x:t>
        </x:is>
      </x:c>
      <x:c r="L28" t="inlineStr">
        <x:is>
          <x:t>true</x:t>
        </x:is>
      </x:c>
      <x:c r="M28" t="inlineStr">
        <x:is>
          <x:t>true</x:t>
        </x:is>
      </x:c>
      <x:c r="N28" t="inlineStr">
        <x:is>
          <x:t>true</x:t>
        </x:is>
      </x:c>
      <x:c r="O28" t="inlineStr">
        <x:is>
          <x:t/>
        </x:is>
      </x:c>
      <x:c r="P28" t="inlineStr">
        <x:is>
          <x:t>900</x:t>
        </x:is>
      </x:c>
      <x:c r="Q28" t="inlineStr">
        <x:is>
          <x:t>2</x:t>
        </x:is>
      </x:c>
      <x:c r="R28" t="inlineStr">
        <x:is>
          <x:t>8-12</x:t>
        </x:is>
      </x:c>
      <x:c r="S28" t="inlineStr">
        <x:is>
          <x:t>5</x:t>
        </x:is>
      </x:c>
      <x:c r="T28" t="inlineStr">
        <x:is>
          <x:t>false</x:t>
        </x:is>
      </x:c>
      <x:c r="U28" t="inlineStr">
        <x:is>
          <x:t>false</x:t>
        </x:is>
      </x:c>
    </x:row>
    <x:row r="29" ht="405" customHeight="1">
      <x:c r="A29" s="25" t="n">
        <x:v>28</x:v>
      </x:c>
      <x:c r="B29" s="26" t="str">
        <x:v>P08-S01-I001-S1-04B-F01</x:v>
      </x:c>
      <x:c r="C29" s="27" t="str">
        <x:v>Create a storyboard concept still for Pilot 8 source clip I001-S1-04B, story 4B.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satin ribbon connects two toy-block districts. Most lies flat, but one middle section remains twisted and standing on edge. Bố holds both padded end-handles. Meo stands beside the upward-facing arrow marks.
Exact frozen action for this frame: Meo points to the visible arrows and signals Bố to rotate the right handle counterclockwise.
Show the opening physical state and every prop needed to understand the coming cause-and-effect.
Camera: adapt this approved moving-shot direction into one readable still composition: one medium-wide continuity shot from the same side of the giant ribbon road, keeping both end-handles, remaining twist and orientation marks visible. No cuts.
Visible physics/mechanism that must read correctly: rotating one ribbon end opposite the stored half twist releases torsion; once the twist leaves the span, the flexible ribbon relaxes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9" s="28" t="str">
        <x:v>P08-S01-MEO-PRIMARY.REFERENCE.png|P08-S01-MEO-SECONDARY.REFERENCE.png|P08-S01-BO-FRONT.REFERENCE.jpg|P08-S01-BO-SIDE.REFERENCE.jpg</x:v>
      </x:c>
      <x:c r="E29" t="inlineStr">
        <x:is>
          <x:t>20260823-1738-pilot08-s01-image-queue</x:t>
        </x:is>
      </x:c>
      <x:c r="F29" t="inlineStr">
        <x:is>
          <x:t>Pilot08-S01.IMAGE-QUEUE__results__v{version}.xlsx</x:t>
        </x:is>
      </x:c>
      <x:c r="G29" t="inlineStr">
        <x:is>
          <x:t>Pilot08-S01.IMAGE-QUEUE__results__v01.xlsx</x:t>
        </x:is>
      </x:c>
      <x:c r="H29" t="inlineStr">
        <x:is>
          <x:t>Authorized folder handle: Pilot-08 (absolute path unavailable)</x:t>
        </x:is>
      </x:c>
      <x:c r="I29" t="inlineStr">
        <x:is>
          <x:t>Authorized folder handle: Pilot-08 (absolute path unavailable)/Pilot08-S01.IMAGE-QUEUE__results__v{version}.xlsx</x:t>
        </x:is>
      </x:c>
      <x:c r="J29" t="inlineStr">
        <x:is>
          <x:t>{job_id}</x:t>
        </x:is>
      </x:c>
      <x:c r="K29" t="inlineStr">
        <x:is>
          <x:t>uniquify</x:t>
        </x:is>
      </x:c>
      <x:c r="L29" t="inlineStr">
        <x:is>
          <x:t>true</x:t>
        </x:is>
      </x:c>
      <x:c r="M29" t="inlineStr">
        <x:is>
          <x:t>true</x:t>
        </x:is>
      </x:c>
      <x:c r="N29" t="inlineStr">
        <x:is>
          <x:t>true</x:t>
        </x:is>
      </x:c>
      <x:c r="O29" t="inlineStr">
        <x:is>
          <x:t/>
        </x:is>
      </x:c>
      <x:c r="P29" t="inlineStr">
        <x:is>
          <x:t>900</x:t>
        </x:is>
      </x:c>
      <x:c r="Q29" t="inlineStr">
        <x:is>
          <x:t>2</x:t>
        </x:is>
      </x:c>
      <x:c r="R29" t="inlineStr">
        <x:is>
          <x:t>8-12</x:t>
        </x:is>
      </x:c>
      <x:c r="S29" t="inlineStr">
        <x:is>
          <x:t>5</x:t>
        </x:is>
      </x:c>
      <x:c r="T29" t="inlineStr">
        <x:is>
          <x:t>false</x:t>
        </x:is>
      </x:c>
      <x:c r="U29" t="inlineStr">
        <x:is>
          <x:t>false</x:t>
        </x:is>
      </x:c>
    </x:row>
    <x:row r="30" ht="405" customHeight="1">
      <x:c r="A30" s="25" t="n">
        <x:v>29</x:v>
      </x:c>
      <x:c r="B30" s="26" t="str">
        <x:v>P08-S01-I001-S1-04B-F02</x:v>
      </x:c>
      <x:c r="C30" s="27" t="str">
        <x:v>Create a storyboard concept still for Pilot 8 source clip I001-S1-04B, story 4B.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satin ribbon connects two toy-block districts. Most lies flat, but one middle section remains twisted and standing on edge. Bố holds both padded end-handles. Meo stands beside the upward-facing arrow marks.
Exact frozen action for this frame: Bố turns the right handle slowly while keeping the left steady. The twist travels toward the right end and disappears. Meo watches each printed arrow return to the top surface and compares it with the matching ground marks. The ribbon settles broad and flat without whipping.
Freeze the clearest instant of the main cause-and-effect action. Make Meo's observation and Bố's indispensable physical action simultaneously readable.
Camera: adapt this approved moving-shot direction into one readable still composition: one medium-wide continuity shot from the same side of the giant ribbon road, keeping both end-handles, remaining twist and orientation marks visible. No cuts.
Visible physics/mechanism that must read correctly: rotating one ribbon end opposite the stored half twist releases torsion; once the twist leaves the span, the flexible ribbon relaxes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0" s="28" t="str">
        <x:v>P08-S01-MEO-PRIMARY.REFERENCE.png|P08-S01-MEO-SECONDARY.REFERENCE.png|P08-S01-BO-FRONT.REFERENCE.jpg|P08-S01-BO-SIDE.REFERENCE.jpg</x:v>
      </x:c>
      <x:c r="E30" t="inlineStr">
        <x:is>
          <x:t>20260823-1738-pilot08-s01-image-queue</x:t>
        </x:is>
      </x:c>
      <x:c r="F30" t="inlineStr">
        <x:is>
          <x:t>Pilot08-S01.IMAGE-QUEUE__results__v{version}.xlsx</x:t>
        </x:is>
      </x:c>
      <x:c r="G30" t="inlineStr">
        <x:is>
          <x:t>Pilot08-S01.IMAGE-QUEUE__results__v01.xlsx</x:t>
        </x:is>
      </x:c>
      <x:c r="H30" t="inlineStr">
        <x:is>
          <x:t>Authorized folder handle: Pilot-08 (absolute path unavailable)</x:t>
        </x:is>
      </x:c>
      <x:c r="I30" t="inlineStr">
        <x:is>
          <x:t>Authorized folder handle: Pilot-08 (absolute path unavailable)/Pilot08-S01.IMAGE-QUEUE__results__v{version}.xlsx</x:t>
        </x:is>
      </x:c>
      <x:c r="J30" t="inlineStr">
        <x:is>
          <x:t>{job_id}</x:t>
        </x:is>
      </x:c>
      <x:c r="K30" t="inlineStr">
        <x:is>
          <x:t>uniquify</x:t>
        </x:is>
      </x:c>
      <x:c r="L30" t="inlineStr">
        <x:is>
          <x:t>true</x:t>
        </x:is>
      </x:c>
      <x:c r="M30" t="inlineStr">
        <x:is>
          <x:t>true</x:t>
        </x:is>
      </x:c>
      <x:c r="N30" t="inlineStr">
        <x:is>
          <x:t>true</x:t>
        </x:is>
      </x:c>
      <x:c r="O30" t="inlineStr">
        <x:is>
          <x:t/>
        </x:is>
      </x:c>
      <x:c r="P30" t="inlineStr">
        <x:is>
          <x:t>900</x:t>
        </x:is>
      </x:c>
      <x:c r="Q30" t="inlineStr">
        <x:is>
          <x:t>2</x:t>
        </x:is>
      </x:c>
      <x:c r="R30" t="inlineStr">
        <x:is>
          <x:t>8-12</x:t>
        </x:is>
      </x:c>
      <x:c r="S30" t="inlineStr">
        <x:is>
          <x:t>5</x:t>
        </x:is>
      </x:c>
      <x:c r="T30" t="inlineStr">
        <x:is>
          <x:t>false</x:t>
        </x:is>
      </x:c>
      <x:c r="U30" t="inlineStr">
        <x:is>
          <x:t>false</x:t>
        </x:is>
      </x:c>
    </x:row>
    <x:row r="31" ht="405" customHeight="1">
      <x:c r="A31" s="25" t="n">
        <x:v>30</x:v>
      </x:c>
      <x:c r="B31" s="26" t="str">
        <x:v>P08-S01-I001-S1-04B-F03</x:v>
      </x:c>
      <x:c r="C31" s="27" t="str">
        <x:v>Create a storyboard concept still for Pilot 8 source clip I001-S1-04B, story 4B.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satin ribbon connects two toy-block districts. Most lies flat, but one middle section remains twisted and standing on edge. Bố holds both padded end-handles. Meo stands beside the upward-facing arrow marks.
Exact frozen action for this frame: Meo signals stop when all arrows face upward. Bố seats both handles into padded ground catches. tiny paper flags beside the ribbon lift softly. Meo says in Vietnamese, with a proud five-year-old voice: “Bố ơi, con đường phẳng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side of the giant ribbon road, keeping both end-handles, remaining twist and orientation marks visible. No cuts.
Visible physics/mechanism that must read correctly: rotating one ribbon end opposite the stored half twist releases torsion; once the twist leaves the span, the flexible ribbon relaxes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1" s="28" t="str">
        <x:v>P08-S01-MEO-PRIMARY.REFERENCE.png|P08-S01-MEO-SECONDARY.REFERENCE.png|P08-S01-BO-FRONT.REFERENCE.jpg|P08-S01-BO-SIDE.REFERENCE.jpg</x:v>
      </x:c>
      <x:c r="E31" t="inlineStr">
        <x:is>
          <x:t>20260823-1738-pilot08-s01-image-queue</x:t>
        </x:is>
      </x:c>
      <x:c r="F31" t="inlineStr">
        <x:is>
          <x:t>Pilot08-S01.IMAGE-QUEUE__results__v{version}.xlsx</x:t>
        </x:is>
      </x:c>
      <x:c r="G31" t="inlineStr">
        <x:is>
          <x:t>Pilot08-S01.IMAGE-QUEUE__results__v01.xlsx</x:t>
        </x:is>
      </x:c>
      <x:c r="H31" t="inlineStr">
        <x:is>
          <x:t>Authorized folder handle: Pilot-08 (absolute path unavailable)</x:t>
        </x:is>
      </x:c>
      <x:c r="I31" t="inlineStr">
        <x:is>
          <x:t>Authorized folder handle: Pilot-08 (absolute path unavailable)/Pilot08-S01.IMAGE-QUEUE__results__v{version}.xlsx</x:t>
        </x:is>
      </x:c>
      <x:c r="J31" t="inlineStr">
        <x:is>
          <x:t>{job_id}</x:t>
        </x:is>
      </x:c>
      <x:c r="K31" t="inlineStr">
        <x:is>
          <x:t>uniquify</x:t>
        </x:is>
      </x:c>
      <x:c r="L31" t="inlineStr">
        <x:is>
          <x:t>true</x:t>
        </x:is>
      </x:c>
      <x:c r="M31" t="inlineStr">
        <x:is>
          <x:t>true</x:t>
        </x:is>
      </x:c>
      <x:c r="N31" t="inlineStr">
        <x:is>
          <x:t>true</x:t>
        </x:is>
      </x:c>
      <x:c r="O31" t="inlineStr">
        <x:is>
          <x:t/>
        </x:is>
      </x:c>
      <x:c r="P31" t="inlineStr">
        <x:is>
          <x:t>900</x:t>
        </x:is>
      </x:c>
      <x:c r="Q31" t="inlineStr">
        <x:is>
          <x:t>2</x:t>
        </x:is>
      </x:c>
      <x:c r="R31" t="inlineStr">
        <x:is>
          <x:t>8-12</x:t>
        </x:is>
      </x:c>
      <x:c r="S31" t="inlineStr">
        <x:is>
          <x:t>5</x:t>
        </x:is>
      </x:c>
      <x:c r="T31" t="inlineStr">
        <x:is>
          <x:t>false</x:t>
        </x:is>
      </x:c>
      <x:c r="U31" t="inlineStr">
        <x:is>
          <x:t>false</x:t>
        </x:is>
      </x:c>
    </x:row>
    <x:row r="32" ht="405" customHeight="1">
      <x:c r="A32" s="25" t="n">
        <x:v>31</x:v>
      </x:c>
      <x:c r="B32" s="26" t="str">
        <x:v>P08-S01-I001-S1-05A-F01</x:v>
      </x:c>
      <x:c r="C32" s="27" t="str">
        <x:v>Create a storyboard concept still for Pilot 8 source clip I001-S1-05A, story 5A.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zipper is as wide as a bridge. Its two fabric tapes lie safely on the ground, with rounded plastic teeth and a large padded slider. Bố grips two soft rail handles attached to the zipper tapes. Meo stands beside the slider entrance.
Exact frozen action for this frame: Bố pulls the padded slider forward gently. It moves a short distance, then stops.
Show the opening physical state and every prop needed to understand the coming cause-and-effect.
Camera: adapt this approved moving-shot direction into one readable still composition: one medium-wide miniature-ground three-quarter shot beside a giant soft toy-pouch zipper spanning a shallow illustrated gap. No cuts.
Visible physics/mechanism that must read correctly: zipper teeth interlock only when both tapes enter the slider at matching depth and angle; uneven feed prevents the opposing teeth from meeting correctly.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2" s="28" t="str">
        <x:v>P08-S01-MEO-PRIMARY.REFERENCE.png|P08-S01-MEO-SECONDARY.REFERENCE.png|P08-S01-BO-FRONT.REFERENCE.jpg|P08-S01-BO-SIDE.REFERENCE.jpg</x:v>
      </x:c>
      <x:c r="E32" t="inlineStr">
        <x:is>
          <x:t>20260823-1738-pilot08-s01-image-queue</x:t>
        </x:is>
      </x:c>
      <x:c r="F32" t="inlineStr">
        <x:is>
          <x:t>Pilot08-S01.IMAGE-QUEUE__results__v{version}.xlsx</x:t>
        </x:is>
      </x:c>
      <x:c r="G32" t="inlineStr">
        <x:is>
          <x:t>Pilot08-S01.IMAGE-QUEUE__results__v01.xlsx</x:t>
        </x:is>
      </x:c>
      <x:c r="H32" t="inlineStr">
        <x:is>
          <x:t>Authorized folder handle: Pilot-08 (absolute path unavailable)</x:t>
        </x:is>
      </x:c>
      <x:c r="I32" t="inlineStr">
        <x:is>
          <x:t>Authorized folder handle: Pilot-08 (absolute path unavailable)/Pilot08-S01.IMAGE-QUEUE__results__v{version}.xlsx</x:t>
        </x:is>
      </x:c>
      <x:c r="J32" t="inlineStr">
        <x:is>
          <x:t>{job_id}</x:t>
        </x:is>
      </x:c>
      <x:c r="K32" t="inlineStr">
        <x:is>
          <x:t>uniquify</x:t>
        </x:is>
      </x:c>
      <x:c r="L32" t="inlineStr">
        <x:is>
          <x:t>true</x:t>
        </x:is>
      </x:c>
      <x:c r="M32" t="inlineStr">
        <x:is>
          <x:t>true</x:t>
        </x:is>
      </x:c>
      <x:c r="N32" t="inlineStr">
        <x:is>
          <x:t>true</x:t>
        </x:is>
      </x:c>
      <x:c r="O32" t="inlineStr">
        <x:is>
          <x:t/>
        </x:is>
      </x:c>
      <x:c r="P32" t="inlineStr">
        <x:is>
          <x:t>900</x:t>
        </x:is>
      </x:c>
      <x:c r="Q32" t="inlineStr">
        <x:is>
          <x:t>2</x:t>
        </x:is>
      </x:c>
      <x:c r="R32" t="inlineStr">
        <x:is>
          <x:t>8-12</x:t>
        </x:is>
      </x:c>
      <x:c r="S32" t="inlineStr">
        <x:is>
          <x:t>5</x:t>
        </x:is>
      </x:c>
      <x:c r="T32" t="inlineStr">
        <x:is>
          <x:t>false</x:t>
        </x:is>
      </x:c>
      <x:c r="U32" t="inlineStr">
        <x:is>
          <x:t>false</x:t>
        </x:is>
      </x:c>
    </x:row>
    <x:row r="33" ht="405" customHeight="1">
      <x:c r="A33" s="25" t="n">
        <x:v>32</x:v>
      </x:c>
      <x:c r="B33" s="26" t="str">
        <x:v>P08-S01-I001-S1-05A-F02</x:v>
      </x:c>
      <x:c r="C33" s="27" t="str">
        <x:v>Create a storyboard concept still for Pilot 8 source clip I001-S1-05A, story 5A.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zipper is as wide as a bridge. Its two fabric tapes lie safely on the ground, with rounded plastic teeth and a large padded slider. Bố grips two soft rail handles attached to the zipper tapes. Meo stands beside the slider entrance.
Exact frozen action for this frame: he eases it back and holds both fabric rails steady. Meo notices the left tape enters the slider farther than the right, so the first teeth meet unevenly and separate again. Bố shifts one rail slightly; when both tape edges approach the slider together, two tooth pairs briefly interlock before the offset returns.
Freeze the clearest instant of the main cause-and-effect action. Make Meo's observation and Bố's indispensable physical action simultaneously readable.
Camera: adapt this approved moving-shot direction into one readable still composition: one medium-wide miniature-ground three-quarter shot beside a giant soft toy-pouch zipper spanning a shallow illustrated gap. No cuts.
Visible physics/mechanism that must read correctly: zipper teeth interlock only when both tapes enter the slider at matching depth and angle; uneven feed prevents the opposing teeth from meeting correctly.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3" s="28" t="str">
        <x:v>P08-S01-MEO-PRIMARY.REFERENCE.png|P08-S01-MEO-SECONDARY.REFERENCE.png|P08-S01-BO-FRONT.REFERENCE.jpg|P08-S01-BO-SIDE.REFERENCE.jpg</x:v>
      </x:c>
      <x:c r="E33" t="inlineStr">
        <x:is>
          <x:t>20260823-1738-pilot08-s01-image-queue</x:t>
        </x:is>
      </x:c>
      <x:c r="F33" t="inlineStr">
        <x:is>
          <x:t>Pilot08-S01.IMAGE-QUEUE__results__v{version}.xlsx</x:t>
        </x:is>
      </x:c>
      <x:c r="G33" t="inlineStr">
        <x:is>
          <x:t>Pilot08-S01.IMAGE-QUEUE__results__v01.xlsx</x:t>
        </x:is>
      </x:c>
      <x:c r="H33" t="inlineStr">
        <x:is>
          <x:t>Authorized folder handle: Pilot-08 (absolute path unavailable)</x:t>
        </x:is>
      </x:c>
      <x:c r="I33" t="inlineStr">
        <x:is>
          <x:t>Authorized folder handle: Pilot-08 (absolute path unavailable)/Pilot08-S01.IMAGE-QUEUE__results__v{version}.xlsx</x:t>
        </x:is>
      </x:c>
      <x:c r="J33" t="inlineStr">
        <x:is>
          <x:t>{job_id}</x:t>
        </x:is>
      </x:c>
      <x:c r="K33" t="inlineStr">
        <x:is>
          <x:t>uniquify</x:t>
        </x:is>
      </x:c>
      <x:c r="L33" t="inlineStr">
        <x:is>
          <x:t>true</x:t>
        </x:is>
      </x:c>
      <x:c r="M33" t="inlineStr">
        <x:is>
          <x:t>true</x:t>
        </x:is>
      </x:c>
      <x:c r="N33" t="inlineStr">
        <x:is>
          <x:t>true</x:t>
        </x:is>
      </x:c>
      <x:c r="O33" t="inlineStr">
        <x:is>
          <x:t/>
        </x:is>
      </x:c>
      <x:c r="P33" t="inlineStr">
        <x:is>
          <x:t>900</x:t>
        </x:is>
      </x:c>
      <x:c r="Q33" t="inlineStr">
        <x:is>
          <x:t>2</x:t>
        </x:is>
      </x:c>
      <x:c r="R33" t="inlineStr">
        <x:is>
          <x:t>8-12</x:t>
        </x:is>
      </x:c>
      <x:c r="S33" t="inlineStr">
        <x:is>
          <x:t>5</x:t>
        </x:is>
      </x:c>
      <x:c r="T33" t="inlineStr">
        <x:is>
          <x:t>false</x:t>
        </x:is>
      </x:c>
      <x:c r="U33" t="inlineStr">
        <x:is>
          <x:t>false</x:t>
        </x:is>
      </x:c>
    </x:row>
    <x:row r="34" ht="405" customHeight="1">
      <x:c r="A34" s="25" t="n">
        <x:v>33</x:v>
      </x:c>
      <x:c r="B34" s="26" t="str">
        <x:v>P08-S01-I001-S1-05A-F03</x:v>
      </x:c>
      <x:c r="C34" s="27" t="str">
        <x:v>Create a storyboard concept still for Pilot 8 source clip I001-S1-05A, story 5A.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zipper is as wide as a bridge. Its two fabric tapes lie safely on the ground, with rounded plastic teeth and a large padded slider. Bố grips two soft rail handles attached to the zipper tapes. Meo stands beside the slider entrance.
Exact frozen action for this frame: Meo points from the unequal tape depths to two simple edge marks beside the slider and traces where both sides should arrive together. Bố holds the rails fixed. the slider remains near the start, with both zipper tapes almost aligned but not yet feeding evenly. End unresolved.
Preserve the visibly unresolved Part A end state; do not solve the problem early.
Camera: adapt this approved moving-shot direction into one readable still composition: one medium-wide miniature-ground three-quarter shot beside a giant soft toy-pouch zipper spanning a shallow illustrated gap. No cuts.
Visible physics/mechanism that must read correctly: zipper teeth interlock only when both tapes enter the slider at matching depth and angle; uneven feed prevents the opposing teeth from meeting correctly.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4" s="28" t="str">
        <x:v>P08-S01-MEO-PRIMARY.REFERENCE.png|P08-S01-MEO-SECONDARY.REFERENCE.png|P08-S01-BO-FRONT.REFERENCE.jpg|P08-S01-BO-SIDE.REFERENCE.jpg</x:v>
      </x:c>
      <x:c r="E34" t="inlineStr">
        <x:is>
          <x:t>20260823-1738-pilot08-s01-image-queue</x:t>
        </x:is>
      </x:c>
      <x:c r="F34" t="inlineStr">
        <x:is>
          <x:t>Pilot08-S01.IMAGE-QUEUE__results__v{version}.xlsx</x:t>
        </x:is>
      </x:c>
      <x:c r="G34" t="inlineStr">
        <x:is>
          <x:t>Pilot08-S01.IMAGE-QUEUE__results__v01.xlsx</x:t>
        </x:is>
      </x:c>
      <x:c r="H34" t="inlineStr">
        <x:is>
          <x:t>Authorized folder handle: Pilot-08 (absolute path unavailable)</x:t>
        </x:is>
      </x:c>
      <x:c r="I34" t="inlineStr">
        <x:is>
          <x:t>Authorized folder handle: Pilot-08 (absolute path unavailable)/Pilot08-S01.IMAGE-QUEUE__results__v{version}.xlsx</x:t>
        </x:is>
      </x:c>
      <x:c r="J34" t="inlineStr">
        <x:is>
          <x:t>{job_id}</x:t>
        </x:is>
      </x:c>
      <x:c r="K34" t="inlineStr">
        <x:is>
          <x:t>uniquify</x:t>
        </x:is>
      </x:c>
      <x:c r="L34" t="inlineStr">
        <x:is>
          <x:t>true</x:t>
        </x:is>
      </x:c>
      <x:c r="M34" t="inlineStr">
        <x:is>
          <x:t>true</x:t>
        </x:is>
      </x:c>
      <x:c r="N34" t="inlineStr">
        <x:is>
          <x:t>true</x:t>
        </x:is>
      </x:c>
      <x:c r="O34" t="inlineStr">
        <x:is>
          <x:t/>
        </x:is>
      </x:c>
      <x:c r="P34" t="inlineStr">
        <x:is>
          <x:t>900</x:t>
        </x:is>
      </x:c>
      <x:c r="Q34" t="inlineStr">
        <x:is>
          <x:t>2</x:t>
        </x:is>
      </x:c>
      <x:c r="R34" t="inlineStr">
        <x:is>
          <x:t>8-12</x:t>
        </x:is>
      </x:c>
      <x:c r="S34" t="inlineStr">
        <x:is>
          <x:t>5</x:t>
        </x:is>
      </x:c>
      <x:c r="T34" t="inlineStr">
        <x:is>
          <x:t>false</x:t>
        </x:is>
      </x:c>
      <x:c r="U34" t="inlineStr">
        <x:is>
          <x:t>false</x:t>
        </x:is>
      </x:c>
    </x:row>
    <x:row r="35" ht="405" customHeight="1">
      <x:c r="A35" s="25" t="n">
        <x:v>34</x:v>
      </x:c>
      <x:c r="B35" s="26" t="str">
        <x:v>P08-S01-I001-S1-05B-F01</x:v>
      </x:c>
      <x:c r="C35" s="27" t="str">
        <x:v>Create a storyboard concept still for Pilot 8 source clip I001-S1-05B, story 5B.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toy zipper lies flat across the illustrated gap. The slider is near the start. One tape still enters slightly farther than the other. Bố holds two soft rail handles. Meo stands beside the slider.
Exact frozen action for this frame: Meo points to the paired edge marks and signals Bố to bring the shorter tape forward.
Show the opening physical state and every prop needed to understand the coming cause-and-effect.
Camera: adapt this approved moving-shot direction into one readable still composition: one medium-wide continuity shot from the same miniature-ground angle, keeping both zipper tapes, padded slider and alignment marks visible. No cuts.
Visible physics/mechanism that must read correctly: equal feed depth and matching tape angle let opposing zipper teeth enter the slider together and interlock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5" s="28" t="str">
        <x:v>P08-S01-MEO-PRIMARY.REFERENCE.png|P08-S01-MEO-SECONDARY.REFERENCE.png|P08-S01-BO-FRONT.REFERENCE.jpg|P08-S01-BO-SIDE.REFERENCE.jpg</x:v>
      </x:c>
      <x:c r="E35" t="inlineStr">
        <x:is>
          <x:t>20260823-1738-pilot08-s01-image-queue</x:t>
        </x:is>
      </x:c>
      <x:c r="F35" t="inlineStr">
        <x:is>
          <x:t>Pilot08-S01.IMAGE-QUEUE__results__v{version}.xlsx</x:t>
        </x:is>
      </x:c>
      <x:c r="G35" t="inlineStr">
        <x:is>
          <x:t>Pilot08-S01.IMAGE-QUEUE__results__v01.xlsx</x:t>
        </x:is>
      </x:c>
      <x:c r="H35" t="inlineStr">
        <x:is>
          <x:t>Authorized folder handle: Pilot-08 (absolute path unavailable)</x:t>
        </x:is>
      </x:c>
      <x:c r="I35" t="inlineStr">
        <x:is>
          <x:t>Authorized folder handle: Pilot-08 (absolute path unavailable)/Pilot08-S01.IMAGE-QUEUE__results__v{version}.xlsx</x:t>
        </x:is>
      </x:c>
      <x:c r="J35" t="inlineStr">
        <x:is>
          <x:t>{job_id}</x:t>
        </x:is>
      </x:c>
      <x:c r="K35" t="inlineStr">
        <x:is>
          <x:t>uniquify</x:t>
        </x:is>
      </x:c>
      <x:c r="L35" t="inlineStr">
        <x:is>
          <x:t>true</x:t>
        </x:is>
      </x:c>
      <x:c r="M35" t="inlineStr">
        <x:is>
          <x:t>true</x:t>
        </x:is>
      </x:c>
      <x:c r="N35" t="inlineStr">
        <x:is>
          <x:t>true</x:t>
        </x:is>
      </x:c>
      <x:c r="O35" t="inlineStr">
        <x:is>
          <x:t/>
        </x:is>
      </x:c>
      <x:c r="P35" t="inlineStr">
        <x:is>
          <x:t>900</x:t>
        </x:is>
      </x:c>
      <x:c r="Q35" t="inlineStr">
        <x:is>
          <x:t>2</x:t>
        </x:is>
      </x:c>
      <x:c r="R35" t="inlineStr">
        <x:is>
          <x:t>8-12</x:t>
        </x:is>
      </x:c>
      <x:c r="S35" t="inlineStr">
        <x:is>
          <x:t>5</x:t>
        </x:is>
      </x:c>
      <x:c r="T35" t="inlineStr">
        <x:is>
          <x:t>false</x:t>
        </x:is>
      </x:c>
      <x:c r="U35" t="inlineStr">
        <x:is>
          <x:t>false</x:t>
        </x:is>
      </x:c>
    </x:row>
    <x:row r="36" ht="405" customHeight="1">
      <x:c r="A36" s="25" t="n">
        <x:v>35</x:v>
      </x:c>
      <x:c r="B36" s="26" t="str">
        <x:v>P08-S01-I001-S1-05B-F02</x:v>
      </x:c>
      <x:c r="C36" s="27" t="str">
        <x:v>Create a storyboard concept still for Pilot 8 source clip I001-S1-05B, story 5B.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toy zipper lies flat across the illustrated gap. The slider is near the start. One tape still enters slightly farther than the other. Bố holds two soft rail handles. Meo stands beside the slider.
Exact frozen action for this frame: Bố adjusts both handles until the tape edges reach the slider together, then holds them parallel. Meo watches the first rounded teeth meet symmetrically and signals him to pull. Bố moves the padded slider slowly forward. Tooth pairs interlock in a smooth line behind it, creating one flat connected crossing.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miniature-ground angle, keeping both zipper tapes, padded slider and alignment marks visible. No cuts.
Visible physics/mechanism that must read correctly: equal feed depth and matching tape angle let opposing zipper teeth enter the slider together and interlock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6" s="28" t="str">
        <x:v>P08-S01-MEO-PRIMARY.REFERENCE.png|P08-S01-MEO-SECONDARY.REFERENCE.png|P08-S01-BO-FRONT.REFERENCE.jpg|P08-S01-BO-SIDE.REFERENCE.jpg</x:v>
      </x:c>
      <x:c r="E36" t="inlineStr">
        <x:is>
          <x:t>20260823-1738-pilot08-s01-image-queue</x:t>
        </x:is>
      </x:c>
      <x:c r="F36" t="inlineStr">
        <x:is>
          <x:t>Pilot08-S01.IMAGE-QUEUE__results__v{version}.xlsx</x:t>
        </x:is>
      </x:c>
      <x:c r="G36" t="inlineStr">
        <x:is>
          <x:t>Pilot08-S01.IMAGE-QUEUE__results__v01.xlsx</x:t>
        </x:is>
      </x:c>
      <x:c r="H36" t="inlineStr">
        <x:is>
          <x:t>Authorized folder handle: Pilot-08 (absolute path unavailable)</x:t>
        </x:is>
      </x:c>
      <x:c r="I36" t="inlineStr">
        <x:is>
          <x:t>Authorized folder handle: Pilot-08 (absolute path unavailable)/Pilot08-S01.IMAGE-QUEUE__results__v{version}.xlsx</x:t>
        </x:is>
      </x:c>
      <x:c r="J36" t="inlineStr">
        <x:is>
          <x:t>{job_id}</x:t>
        </x:is>
      </x:c>
      <x:c r="K36" t="inlineStr">
        <x:is>
          <x:t>uniquify</x:t>
        </x:is>
      </x:c>
      <x:c r="L36" t="inlineStr">
        <x:is>
          <x:t>true</x:t>
        </x:is>
      </x:c>
      <x:c r="M36" t="inlineStr">
        <x:is>
          <x:t>true</x:t>
        </x:is>
      </x:c>
      <x:c r="N36" t="inlineStr">
        <x:is>
          <x:t>true</x:t>
        </x:is>
      </x:c>
      <x:c r="O36" t="inlineStr">
        <x:is>
          <x:t/>
        </x:is>
      </x:c>
      <x:c r="P36" t="inlineStr">
        <x:is>
          <x:t>900</x:t>
        </x:is>
      </x:c>
      <x:c r="Q36" t="inlineStr">
        <x:is>
          <x:t>2</x:t>
        </x:is>
      </x:c>
      <x:c r="R36" t="inlineStr">
        <x:is>
          <x:t>8-12</x:t>
        </x:is>
      </x:c>
      <x:c r="S36" t="inlineStr">
        <x:is>
          <x:t>5</x:t>
        </x:is>
      </x:c>
      <x:c r="T36" t="inlineStr">
        <x:is>
          <x:t>false</x:t>
        </x:is>
      </x:c>
      <x:c r="U36" t="inlineStr">
        <x:is>
          <x:t>false</x:t>
        </x:is>
      </x:c>
    </x:row>
    <x:row r="37" ht="405" customHeight="1">
      <x:c r="A37" s="25" t="n">
        <x:v>36</x:v>
      </x:c>
      <x:c r="B37" s="26" t="str">
        <x:v>P08-S01-I001-S1-05B-F03</x:v>
      </x:c>
      <x:c r="C37" s="27" t="str">
        <x:v>Create a storyboard concept still for Pilot 8 source clip I001-S1-05B, story 5B.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toy zipper lies flat across the illustrated gap. The slider is near the start. One tape still enters slightly farther than the other. Bố holds two soft rail handles. Meo stands beside the slider.
Exact frozen action for this frame: when the slider reaches the padded stop, Meo signals stop. Bố seats both rail handles into low ground catches. tiny toy flags beside the crossing lift gently. Meo says in Vietnamese, with a delighted five-year-old voice: “Bố ơi, hai bên khớp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miniature-ground angle, keeping both zipper tapes, padded slider and alignment marks visible. No cuts.
Visible physics/mechanism that must read correctly: equal feed depth and matching tape angle let opposing zipper teeth enter the slider together and interlock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7" s="28" t="str">
        <x:v>P08-S01-MEO-PRIMARY.REFERENCE.png|P08-S01-MEO-SECONDARY.REFERENCE.png|P08-S01-BO-FRONT.REFERENCE.jpg|P08-S01-BO-SIDE.REFERENCE.jpg</x:v>
      </x:c>
      <x:c r="E37" t="inlineStr">
        <x:is>
          <x:t>20260823-1738-pilot08-s01-image-queue</x:t>
        </x:is>
      </x:c>
      <x:c r="F37" t="inlineStr">
        <x:is>
          <x:t>Pilot08-S01.IMAGE-QUEUE__results__v{version}.xlsx</x:t>
        </x:is>
      </x:c>
      <x:c r="G37" t="inlineStr">
        <x:is>
          <x:t>Pilot08-S01.IMAGE-QUEUE__results__v01.xlsx</x:t>
        </x:is>
      </x:c>
      <x:c r="H37" t="inlineStr">
        <x:is>
          <x:t>Authorized folder handle: Pilot-08 (absolute path unavailable)</x:t>
        </x:is>
      </x:c>
      <x:c r="I37" t="inlineStr">
        <x:is>
          <x:t>Authorized folder handle: Pilot-08 (absolute path unavailable)/Pilot08-S01.IMAGE-QUEUE__results__v{version}.xlsx</x:t>
        </x:is>
      </x:c>
      <x:c r="J37" t="inlineStr">
        <x:is>
          <x:t>{job_id}</x:t>
        </x:is>
      </x:c>
      <x:c r="K37" t="inlineStr">
        <x:is>
          <x:t>uniquify</x:t>
        </x:is>
      </x:c>
      <x:c r="L37" t="inlineStr">
        <x:is>
          <x:t>true</x:t>
        </x:is>
      </x:c>
      <x:c r="M37" t="inlineStr">
        <x:is>
          <x:t>true</x:t>
        </x:is>
      </x:c>
      <x:c r="N37" t="inlineStr">
        <x:is>
          <x:t>true</x:t>
        </x:is>
      </x:c>
      <x:c r="O37" t="inlineStr">
        <x:is>
          <x:t/>
        </x:is>
      </x:c>
      <x:c r="P37" t="inlineStr">
        <x:is>
          <x:t>900</x:t>
        </x:is>
      </x:c>
      <x:c r="Q37" t="inlineStr">
        <x:is>
          <x:t>2</x:t>
        </x:is>
      </x:c>
      <x:c r="R37" t="inlineStr">
        <x:is>
          <x:t>8-12</x:t>
        </x:is>
      </x:c>
      <x:c r="S37" t="inlineStr">
        <x:is>
          <x:t>5</x:t>
        </x:is>
      </x:c>
      <x:c r="T37" t="inlineStr">
        <x:is>
          <x:t>false</x:t>
        </x:is>
      </x:c>
      <x:c r="U37" t="inlineStr">
        <x:is>
          <x:t>false</x:t>
        </x:is>
      </x:c>
    </x:row>
    <x:row r="38" ht="405" customHeight="1">
      <x:c r="A38" s="25" t="n">
        <x:v>37</x:v>
      </x:c>
      <x:c r="B38" s="26" t="str">
        <x:v>P08-S01-I001-S1-06A-F01</x:v>
      </x:c>
      <x:c r="C38" s="27" t="str">
        <x:v>Create a storyboard concept still for Pilot 8 source clip I001-S1-06A, story 6A.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toy cups are enormous here. A large blue cup stands low above the mat in Bố’s padded side handles. A smaller yellow cup rests partly inside it but is tilted, with one rim touching the blue inner wall. Meo stands beside center marks on the bases.
Exact frozen action for this frame: Bố lowers the blue cup slightly. The yellow cup enters only a little, then stops.
Show the opening physical state and every prop needed to understand the coming cause-and-effect.
Camera: adapt this approved moving-shot direction into one readable still composition: one medium-wide low-angle shot beside giant nesting cups on a stable foam mat in the Tiny World. No cuts.
Visible physics/mechanism that must read correctly: a smaller cup needs its central axis aligned with the larger cup so rim clearance stays even; tilt causes early side contact and stops insertion.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8" s="28" t="str">
        <x:v>P08-S01-MEO-PRIMARY.REFERENCE.png|P08-S01-MEO-SECONDARY.REFERENCE.png|P08-S01-BO-FRONT.REFERENCE.jpg|P08-S01-BO-SIDE.REFERENCE.jpg</x:v>
      </x:c>
      <x:c r="E38" t="inlineStr">
        <x:is>
          <x:t>20260823-1738-pilot08-s01-image-queue</x:t>
        </x:is>
      </x:c>
      <x:c r="F38" t="inlineStr">
        <x:is>
          <x:t>Pilot08-S01.IMAGE-QUEUE__results__v{version}.xlsx</x:t>
        </x:is>
      </x:c>
      <x:c r="G38" t="inlineStr">
        <x:is>
          <x:t>Pilot08-S01.IMAGE-QUEUE__results__v01.xlsx</x:t>
        </x:is>
      </x:c>
      <x:c r="H38" t="inlineStr">
        <x:is>
          <x:t>Authorized folder handle: Pilot-08 (absolute path unavailable)</x:t>
        </x:is>
      </x:c>
      <x:c r="I38" t="inlineStr">
        <x:is>
          <x:t>Authorized folder handle: Pilot-08 (absolute path unavailable)/Pilot08-S01.IMAGE-QUEUE__results__v{version}.xlsx</x:t>
        </x:is>
      </x:c>
      <x:c r="J38" t="inlineStr">
        <x:is>
          <x:t>{job_id}</x:t>
        </x:is>
      </x:c>
      <x:c r="K38" t="inlineStr">
        <x:is>
          <x:t>uniquify</x:t>
        </x:is>
      </x:c>
      <x:c r="L38" t="inlineStr">
        <x:is>
          <x:t>true</x:t>
        </x:is>
      </x:c>
      <x:c r="M38" t="inlineStr">
        <x:is>
          <x:t>true</x:t>
        </x:is>
      </x:c>
      <x:c r="N38" t="inlineStr">
        <x:is>
          <x:t>true</x:t>
        </x:is>
      </x:c>
      <x:c r="O38" t="inlineStr">
        <x:is>
          <x:t/>
        </x:is>
      </x:c>
      <x:c r="P38" t="inlineStr">
        <x:is>
          <x:t>900</x:t>
        </x:is>
      </x:c>
      <x:c r="Q38" t="inlineStr">
        <x:is>
          <x:t>2</x:t>
        </x:is>
      </x:c>
      <x:c r="R38" t="inlineStr">
        <x:is>
          <x:t>8-12</x:t>
        </x:is>
      </x:c>
      <x:c r="S38" t="inlineStr">
        <x:is>
          <x:t>5</x:t>
        </x:is>
      </x:c>
      <x:c r="T38" t="inlineStr">
        <x:is>
          <x:t>false</x:t>
        </x:is>
      </x:c>
      <x:c r="U38" t="inlineStr">
        <x:is>
          <x:t>false</x:t>
        </x:is>
      </x:c>
    </x:row>
    <x:row r="39" ht="405" customHeight="1">
      <x:c r="A39" s="25" t="n">
        <x:v>38</x:v>
      </x:c>
      <x:c r="B39" s="26" t="str">
        <x:v>P08-S01-I001-S1-06A-F02</x:v>
      </x:c>
      <x:c r="C39" s="27" t="str">
        <x:v>Create a storyboard concept still for Pilot 8 source clip I001-S1-06A, story 6A.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toy cups are enormous here. A large blue cup stands low above the mat in Bố’s padded side handles. A smaller yellow cup rests partly inside it but is tilted, with one rim touching the blue inner wall. Meo stands beside center marks on the bases.
Exact frozen action for this frame: Bố lifts the blue cup back and holds it steady. Meo notices the yellow rim touches one side while a wide gap remains on the other. She rotates the yellow cup by its safe base tab until the gaps become more even. Bố lowers the outer cup again; it slides farther before the tilted rim touches once more.
Freeze the clearest instant of the main cause-and-effect action. Make Meo's observation and Bố's indispensable physical action simultaneously readable.
Camera: adapt this approved moving-shot direction into one readable still composition: one medium-wide low-angle shot beside giant nesting cups on a stable foam mat in the Tiny World. No cuts.
Visible physics/mechanism that must read correctly: a smaller cup needs its central axis aligned with the larger cup so rim clearance stays even; tilt causes early side contact and stops insertion.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9" s="28" t="str">
        <x:v>P08-S01-MEO-PRIMARY.REFERENCE.png|P08-S01-MEO-SECONDARY.REFERENCE.png|P08-S01-BO-FRONT.REFERENCE.jpg|P08-S01-BO-SIDE.REFERENCE.jpg</x:v>
      </x:c>
      <x:c r="E39" t="inlineStr">
        <x:is>
          <x:t>20260823-1738-pilot08-s01-image-queue</x:t>
        </x:is>
      </x:c>
      <x:c r="F39" t="inlineStr">
        <x:is>
          <x:t>Pilot08-S01.IMAGE-QUEUE__results__v{version}.xlsx</x:t>
        </x:is>
      </x:c>
      <x:c r="G39" t="inlineStr">
        <x:is>
          <x:t>Pilot08-S01.IMAGE-QUEUE__results__v01.xlsx</x:t>
        </x:is>
      </x:c>
      <x:c r="H39" t="inlineStr">
        <x:is>
          <x:t>Authorized folder handle: Pilot-08 (absolute path unavailable)</x:t>
        </x:is>
      </x:c>
      <x:c r="I39" t="inlineStr">
        <x:is>
          <x:t>Authorized folder handle: Pilot-08 (absolute path unavailable)/Pilot08-S01.IMAGE-QUEUE__results__v{version}.xlsx</x:t>
        </x:is>
      </x:c>
      <x:c r="J39" t="inlineStr">
        <x:is>
          <x:t>{job_id}</x:t>
        </x:is>
      </x:c>
      <x:c r="K39" t="inlineStr">
        <x:is>
          <x:t>uniquify</x:t>
        </x:is>
      </x:c>
      <x:c r="L39" t="inlineStr">
        <x:is>
          <x:t>true</x:t>
        </x:is>
      </x:c>
      <x:c r="M39" t="inlineStr">
        <x:is>
          <x:t>true</x:t>
        </x:is>
      </x:c>
      <x:c r="N39" t="inlineStr">
        <x:is>
          <x:t>true</x:t>
        </x:is>
      </x:c>
      <x:c r="O39" t="inlineStr">
        <x:is>
          <x:t/>
        </x:is>
      </x:c>
      <x:c r="P39" t="inlineStr">
        <x:is>
          <x:t>900</x:t>
        </x:is>
      </x:c>
      <x:c r="Q39" t="inlineStr">
        <x:is>
          <x:t>2</x:t>
        </x:is>
      </x:c>
      <x:c r="R39" t="inlineStr">
        <x:is>
          <x:t>8-12</x:t>
        </x:is>
      </x:c>
      <x:c r="S39" t="inlineStr">
        <x:is>
          <x:t>5</x:t>
        </x:is>
      </x:c>
      <x:c r="T39" t="inlineStr">
        <x:is>
          <x:t>false</x:t>
        </x:is>
      </x:c>
      <x:c r="U39" t="inlineStr">
        <x:is>
          <x:t>false</x:t>
        </x:is>
      </x:c>
    </x:row>
    <x:row r="40" ht="405" customHeight="1">
      <x:c r="A40" s="25" t="n">
        <x:v>39</x:v>
      </x:c>
      <x:c r="B40" s="26" t="str">
        <x:v>P08-S01-I001-S1-06A-F03</x:v>
      </x:c>
      <x:c r="C40" s="27" t="str">
        <x:v>Create a storyboard concept still for Pilot 8 source clip I001-S1-06A, story 6A.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toy cups are enormous here. A large blue cup stands low above the mat in Bố’s padded side handles. A smaller yellow cup rests partly inside it but is tilted, with one rim touching the blue inner wall. Meo stands beside center marks on the bases.
Exact frozen action for this frame: Meo points from the off-center base mark to the center mark beneath the blue cup and traces a straight vertical line. Bố holds the outer cup steady near the mat. the yellow cup sits deeper but remains slightly tilted. End unresolved.
Preserve the visibly unresolved Part A end state; do not solve the problem early.
Camera: adapt this approved moving-shot direction into one readable still composition: one medium-wide low-angle shot beside giant nesting cups on a stable foam mat in the Tiny World. No cuts.
Visible physics/mechanism that must read correctly: a smaller cup needs its central axis aligned with the larger cup so rim clearance stays even; tilt causes early side contact and stops insertion.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0" s="28" t="str">
        <x:v>P08-S01-MEO-PRIMARY.REFERENCE.png|P08-S01-MEO-SECONDARY.REFERENCE.png|P08-S01-BO-FRONT.REFERENCE.jpg|P08-S01-BO-SIDE.REFERENCE.jpg</x:v>
      </x:c>
      <x:c r="E40" t="inlineStr">
        <x:is>
          <x:t>20260823-1738-pilot08-s01-image-queue</x:t>
        </x:is>
      </x:c>
      <x:c r="F40" t="inlineStr">
        <x:is>
          <x:t>Pilot08-S01.IMAGE-QUEUE__results__v{version}.xlsx</x:t>
        </x:is>
      </x:c>
      <x:c r="G40" t="inlineStr">
        <x:is>
          <x:t>Pilot08-S01.IMAGE-QUEUE__results__v01.xlsx</x:t>
        </x:is>
      </x:c>
      <x:c r="H40" t="inlineStr">
        <x:is>
          <x:t>Authorized folder handle: Pilot-08 (absolute path unavailable)</x:t>
        </x:is>
      </x:c>
      <x:c r="I40" t="inlineStr">
        <x:is>
          <x:t>Authorized folder handle: Pilot-08 (absolute path unavailable)/Pilot08-S01.IMAGE-QUEUE__results__v{version}.xlsx</x:t>
        </x:is>
      </x:c>
      <x:c r="J40" t="inlineStr">
        <x:is>
          <x:t>{job_id}</x:t>
        </x:is>
      </x:c>
      <x:c r="K40" t="inlineStr">
        <x:is>
          <x:t>uniquify</x:t>
        </x:is>
      </x:c>
      <x:c r="L40" t="inlineStr">
        <x:is>
          <x:t>true</x:t>
        </x:is>
      </x:c>
      <x:c r="M40" t="inlineStr">
        <x:is>
          <x:t>true</x:t>
        </x:is>
      </x:c>
      <x:c r="N40" t="inlineStr">
        <x:is>
          <x:t>true</x:t>
        </x:is>
      </x:c>
      <x:c r="O40" t="inlineStr">
        <x:is>
          <x:t/>
        </x:is>
      </x:c>
      <x:c r="P40" t="inlineStr">
        <x:is>
          <x:t>900</x:t>
        </x:is>
      </x:c>
      <x:c r="Q40" t="inlineStr">
        <x:is>
          <x:t>2</x:t>
        </x:is>
      </x:c>
      <x:c r="R40" t="inlineStr">
        <x:is>
          <x:t>8-12</x:t>
        </x:is>
      </x:c>
      <x:c r="S40" t="inlineStr">
        <x:is>
          <x:t>5</x:t>
        </x:is>
      </x:c>
      <x:c r="T40" t="inlineStr">
        <x:is>
          <x:t>false</x:t>
        </x:is>
      </x:c>
      <x:c r="U40" t="inlineStr">
        <x:is>
          <x:t>false</x:t>
        </x:is>
      </x:c>
    </x:row>
    <x:row r="41" ht="405" customHeight="1">
      <x:c r="A41" s="25" t="n">
        <x:v>40</x:v>
      </x:c>
      <x:c r="B41" s="26" t="str">
        <x:v>P08-S01-I001-S1-06B-F01</x:v>
      </x:c>
      <x:c r="C41" s="27" t="str">
        <x:v>Create a storyboard concept still for Pilot 8 source clip I001-S1-06B, story 6B.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yellow cup sits partly inside the giant blue cup, slightly tilted with unequal rim gaps. Bố holds padded side handles near the foam mat. Meo stands beside the alignment marks.
Exact frozen action for this frame: Meo points to the two center marks and signals Bố to hold the blue cup directly above them.
Show the opening physical state and every prop needed to understand the coming cause-and-effect.
Camera: adapt this approved moving-shot direction into one readable still composition: one medium-wide continuity shot from the same low angle, keeping the blue outer cup, yellow inner cup and center marks visible. No cuts.
Visible physics/mechanism that must read correctly: aligning both cups along one central axis keeps rim clearance even, allowing the smaller cup to slide inside without early side contact.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1" s="28" t="str">
        <x:v>P08-S01-MEO-PRIMARY.REFERENCE.png|P08-S01-MEO-SECONDARY.REFERENCE.png|P08-S01-BO-FRONT.REFERENCE.jpg|P08-S01-BO-SIDE.REFERENCE.jpg</x:v>
      </x:c>
      <x:c r="E41" t="inlineStr">
        <x:is>
          <x:t>20260823-1738-pilot08-s01-image-queue</x:t>
        </x:is>
      </x:c>
      <x:c r="F41" t="inlineStr">
        <x:is>
          <x:t>Pilot08-S01.IMAGE-QUEUE__results__v{version}.xlsx</x:t>
        </x:is>
      </x:c>
      <x:c r="G41" t="inlineStr">
        <x:is>
          <x:t>Pilot08-S01.IMAGE-QUEUE__results__v01.xlsx</x:t>
        </x:is>
      </x:c>
      <x:c r="H41" t="inlineStr">
        <x:is>
          <x:t>Authorized folder handle: Pilot-08 (absolute path unavailable)</x:t>
        </x:is>
      </x:c>
      <x:c r="I41" t="inlineStr">
        <x:is>
          <x:t>Authorized folder handle: Pilot-08 (absolute path unavailable)/Pilot08-S01.IMAGE-QUEUE__results__v{version}.xlsx</x:t>
        </x:is>
      </x:c>
      <x:c r="J41" t="inlineStr">
        <x:is>
          <x:t>{job_id}</x:t>
        </x:is>
      </x:c>
      <x:c r="K41" t="inlineStr">
        <x:is>
          <x:t>uniquify</x:t>
        </x:is>
      </x:c>
      <x:c r="L41" t="inlineStr">
        <x:is>
          <x:t>true</x:t>
        </x:is>
      </x:c>
      <x:c r="M41" t="inlineStr">
        <x:is>
          <x:t>true</x:t>
        </x:is>
      </x:c>
      <x:c r="N41" t="inlineStr">
        <x:is>
          <x:t>true</x:t>
        </x:is>
      </x:c>
      <x:c r="O41" t="inlineStr">
        <x:is>
          <x:t/>
        </x:is>
      </x:c>
      <x:c r="P41" t="inlineStr">
        <x:is>
          <x:t>900</x:t>
        </x:is>
      </x:c>
      <x:c r="Q41" t="inlineStr">
        <x:is>
          <x:t>2</x:t>
        </x:is>
      </x:c>
      <x:c r="R41" t="inlineStr">
        <x:is>
          <x:t>8-12</x:t>
        </x:is>
      </x:c>
      <x:c r="S41" t="inlineStr">
        <x:is>
          <x:t>5</x:t>
        </x:is>
      </x:c>
      <x:c r="T41" t="inlineStr">
        <x:is>
          <x:t>false</x:t>
        </x:is>
      </x:c>
      <x:c r="U41" t="inlineStr">
        <x:is>
          <x:t>false</x:t>
        </x:is>
      </x:c>
    </x:row>
    <x:row r="42" ht="405" customHeight="1">
      <x:c r="A42" s="25" t="n">
        <x:v>41</x:v>
      </x:c>
      <x:c r="B42" s="26" t="str">
        <x:v>P08-S01-I001-S1-06B-F02</x:v>
      </x:c>
      <x:c r="C42" s="27" t="str">
        <x:v>Create a storyboard concept still for Pilot 8 source clip I001-S1-06B, story 6B.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yellow cup sits partly inside the giant blue cup, slightly tilted with unequal rim gaps. Bố holds padded side handles near the foam mat. Meo stands beside the alignment marks.
Exact frozen action for this frame: Bố keeps the outer cup vertical while Meo straightens the yellow cup by its safe base tab until the rim gap looks even. She signals ready. Bố lowers the blue cup slowly. The yellow cup slides deeper smoothly and both base marks stay centered.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blue outer cup, yellow inner cup and center marks visible. No cuts.
Visible physics/mechanism that must read correctly: aligning both cups along one central axis keeps rim clearance even, allowing the smaller cup to slide inside without early side contact.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2" s="28" t="str">
        <x:v>P08-S01-MEO-PRIMARY.REFERENCE.png|P08-S01-MEO-SECONDARY.REFERENCE.png|P08-S01-BO-FRONT.REFERENCE.jpg|P08-S01-BO-SIDE.REFERENCE.jpg</x:v>
      </x:c>
      <x:c r="E42" t="inlineStr">
        <x:is>
          <x:t>20260823-1738-pilot08-s01-image-queue</x:t>
        </x:is>
      </x:c>
      <x:c r="F42" t="inlineStr">
        <x:is>
          <x:t>Pilot08-S01.IMAGE-QUEUE__results__v{version}.xlsx</x:t>
        </x:is>
      </x:c>
      <x:c r="G42" t="inlineStr">
        <x:is>
          <x:t>Pilot08-S01.IMAGE-QUEUE__results__v01.xlsx</x:t>
        </x:is>
      </x:c>
      <x:c r="H42" t="inlineStr">
        <x:is>
          <x:t>Authorized folder handle: Pilot-08 (absolute path unavailable)</x:t>
        </x:is>
      </x:c>
      <x:c r="I42" t="inlineStr">
        <x:is>
          <x:t>Authorized folder handle: Pilot-08 (absolute path unavailable)/Pilot08-S01.IMAGE-QUEUE__results__v{version}.xlsx</x:t>
        </x:is>
      </x:c>
      <x:c r="J42" t="inlineStr">
        <x:is>
          <x:t>{job_id}</x:t>
        </x:is>
      </x:c>
      <x:c r="K42" t="inlineStr">
        <x:is>
          <x:t>uniquify</x:t>
        </x:is>
      </x:c>
      <x:c r="L42" t="inlineStr">
        <x:is>
          <x:t>true</x:t>
        </x:is>
      </x:c>
      <x:c r="M42" t="inlineStr">
        <x:is>
          <x:t>true</x:t>
        </x:is>
      </x:c>
      <x:c r="N42" t="inlineStr">
        <x:is>
          <x:t>true</x:t>
        </x:is>
      </x:c>
      <x:c r="O42" t="inlineStr">
        <x:is>
          <x:t/>
        </x:is>
      </x:c>
      <x:c r="P42" t="inlineStr">
        <x:is>
          <x:t>900</x:t>
        </x:is>
      </x:c>
      <x:c r="Q42" t="inlineStr">
        <x:is>
          <x:t>2</x:t>
        </x:is>
      </x:c>
      <x:c r="R42" t="inlineStr">
        <x:is>
          <x:t>8-12</x:t>
        </x:is>
      </x:c>
      <x:c r="S42" t="inlineStr">
        <x:is>
          <x:t>5</x:t>
        </x:is>
      </x:c>
      <x:c r="T42" t="inlineStr">
        <x:is>
          <x:t>false</x:t>
        </x:is>
      </x:c>
      <x:c r="U42" t="inlineStr">
        <x:is>
          <x:t>false</x:t>
        </x:is>
      </x:c>
    </x:row>
    <x:row r="43" ht="405" customHeight="1">
      <x:c r="A43" s="25" t="n">
        <x:v>42</x:v>
      </x:c>
      <x:c r="B43" s="26" t="str">
        <x:v>P08-S01-I001-S1-06B-F03</x:v>
      </x:c>
      <x:c r="C43" s="27" t="str">
        <x:v>Create a storyboard concept still for Pilot 8 source clip I001-S1-06B, story 6B.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yellow cup sits partly inside the giant blue cup, slightly tilted with unequal rim gaps. Bố holds padded side handles near the foam mat. Meo stands beside the alignment marks.
Exact frozen action for this frame: when the nesting stop reaches the padded rim line, Meo signals stop. Bố sets the nested cups on the foam mat. a star on the inner cup appears centered inside the blue rim. Meo says in Vietnamese, with a proud five-year-old voice: “Bố ơi, hai chiếc cốc lồng vào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blue outer cup, yellow inner cup and center marks visible. No cuts.
Visible physics/mechanism that must read correctly: aligning both cups along one central axis keeps rim clearance even, allowing the smaller cup to slide inside without early side contact.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3" s="28" t="str">
        <x:v>P08-S01-MEO-PRIMARY.REFERENCE.png|P08-S01-MEO-SECONDARY.REFERENCE.png|P08-S01-BO-FRONT.REFERENCE.jpg|P08-S01-BO-SIDE.REFERENCE.jpg</x:v>
      </x:c>
      <x:c r="E43" t="inlineStr">
        <x:is>
          <x:t>20260823-1738-pilot08-s01-image-queue</x:t>
        </x:is>
      </x:c>
      <x:c r="F43" t="inlineStr">
        <x:is>
          <x:t>Pilot08-S01.IMAGE-QUEUE__results__v{version}.xlsx</x:t>
        </x:is>
      </x:c>
      <x:c r="G43" t="inlineStr">
        <x:is>
          <x:t>Pilot08-S01.IMAGE-QUEUE__results__v01.xlsx</x:t>
        </x:is>
      </x:c>
      <x:c r="H43" t="inlineStr">
        <x:is>
          <x:t>Authorized folder handle: Pilot-08 (absolute path unavailable)</x:t>
        </x:is>
      </x:c>
      <x:c r="I43" t="inlineStr">
        <x:is>
          <x:t>Authorized folder handle: Pilot-08 (absolute path unavailable)/Pilot08-S01.IMAGE-QUEUE__results__v{version}.xlsx</x:t>
        </x:is>
      </x:c>
      <x:c r="J43" t="inlineStr">
        <x:is>
          <x:t>{job_id}</x:t>
        </x:is>
      </x:c>
      <x:c r="K43" t="inlineStr">
        <x:is>
          <x:t>uniquify</x:t>
        </x:is>
      </x:c>
      <x:c r="L43" t="inlineStr">
        <x:is>
          <x:t>true</x:t>
        </x:is>
      </x:c>
      <x:c r="M43" t="inlineStr">
        <x:is>
          <x:t>true</x:t>
        </x:is>
      </x:c>
      <x:c r="N43" t="inlineStr">
        <x:is>
          <x:t>true</x:t>
        </x:is>
      </x:c>
      <x:c r="O43" t="inlineStr">
        <x:is>
          <x:t/>
        </x:is>
      </x:c>
      <x:c r="P43" t="inlineStr">
        <x:is>
          <x:t>900</x:t>
        </x:is>
      </x:c>
      <x:c r="Q43" t="inlineStr">
        <x:is>
          <x:t>2</x:t>
        </x:is>
      </x:c>
      <x:c r="R43" t="inlineStr">
        <x:is>
          <x:t>8-12</x:t>
        </x:is>
      </x:c>
      <x:c r="S43" t="inlineStr">
        <x:is>
          <x:t>5</x:t>
        </x:is>
      </x:c>
      <x:c r="T43" t="inlineStr">
        <x:is>
          <x:t>false</x:t>
        </x:is>
      </x:c>
      <x:c r="U43" t="inlineStr">
        <x:is>
          <x:t>false</x:t>
        </x:is>
      </x:c>
    </x:row>
    <x:row r="44" ht="405" customHeight="1">
      <x:c r="A44" s="25" t="n">
        <x:v>43</x:v>
      </x:c>
      <x:c r="B44" s="26" t="str">
        <x:v>P08-S01-I001-S1-07A-F01</x:v>
      </x:c>
      <x:c r="C44" s="27" t="str">
        <x:v>Create a storyboard concept still for Pilot 8 source clip I001-S1-07A, story 7A.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action for this frame: Bố presses near the left end. The left side drops first, the right stays higher, and the key stops tilted.
Show the opening physical state and every prop needed to understand the coming cause-and-effect.
Camera: adapt this approved moving-shot direction into one readable still composition: one medium-wide low-angle shot beside a giant soft toy-keyboard key inside the Tiny World. No cuts.
Visible physics/mechanism that must read correctly: off-center force creates torque that tilts the keycap and presses its guides sideways; centered force distributes load evenly so the cap descends parallel to the posts.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4" s="28" t="str">
        <x:v>P08-S01-MEO-PRIMARY.REFERENCE.png|P08-S01-MEO-SECONDARY.REFERENCE.png|P08-S01-BO-FRONT.REFERENCE.jpg|P08-S01-BO-SIDE.REFERENCE.jpg</x:v>
      </x:c>
      <x:c r="E44" t="inlineStr">
        <x:is>
          <x:t>20260823-1738-pilot08-s01-image-queue</x:t>
        </x:is>
      </x:c>
      <x:c r="F44" t="inlineStr">
        <x:is>
          <x:t>Pilot08-S01.IMAGE-QUEUE__results__v{version}.xlsx</x:t>
        </x:is>
      </x:c>
      <x:c r="G44" t="inlineStr">
        <x:is>
          <x:t>Pilot08-S01.IMAGE-QUEUE__results__v01.xlsx</x:t>
        </x:is>
      </x:c>
      <x:c r="H44" t="inlineStr">
        <x:is>
          <x:t>Authorized folder handle: Pilot-08 (absolute path unavailable)</x:t>
        </x:is>
      </x:c>
      <x:c r="I44" t="inlineStr">
        <x:is>
          <x:t>Authorized folder handle: Pilot-08 (absolute path unavailable)/Pilot08-S01.IMAGE-QUEUE__results__v{version}.xlsx</x:t>
        </x:is>
      </x:c>
      <x:c r="J44" t="inlineStr">
        <x:is>
          <x:t>{job_id}</x:t>
        </x:is>
      </x:c>
      <x:c r="K44" t="inlineStr">
        <x:is>
          <x:t>uniquify</x:t>
        </x:is>
      </x:c>
      <x:c r="L44" t="inlineStr">
        <x:is>
          <x:t>true</x:t>
        </x:is>
      </x:c>
      <x:c r="M44" t="inlineStr">
        <x:is>
          <x:t>true</x:t>
        </x:is>
      </x:c>
      <x:c r="N44" t="inlineStr">
        <x:is>
          <x:t>true</x:t>
        </x:is>
      </x:c>
      <x:c r="O44" t="inlineStr">
        <x:is>
          <x:t/>
        </x:is>
      </x:c>
      <x:c r="P44" t="inlineStr">
        <x:is>
          <x:t>900</x:t>
        </x:is>
      </x:c>
      <x:c r="Q44" t="inlineStr">
        <x:is>
          <x:t>2</x:t>
        </x:is>
      </x:c>
      <x:c r="R44" t="inlineStr">
        <x:is>
          <x:t>8-12</x:t>
        </x:is>
      </x:c>
      <x:c r="S44" t="inlineStr">
        <x:is>
          <x:t>5</x:t>
        </x:is>
      </x:c>
      <x:c r="T44" t="inlineStr">
        <x:is>
          <x:t>false</x:t>
        </x:is>
      </x:c>
      <x:c r="U44" t="inlineStr">
        <x:is>
          <x:t>false</x:t>
        </x:is>
      </x:c>
    </x:row>
    <x:row r="45" ht="405" customHeight="1">
      <x:c r="A45" s="25" t="n">
        <x:v>44</x:v>
      </x:c>
      <x:c r="B45" s="26" t="str">
        <x:v>P08-S01-I001-S1-07A-F02</x:v>
      </x:c>
      <x:c r="C45" s="27" t="str">
        <x:v>Create a storyboard concept still for Pilot 8 source clip I001-S1-07A, story 7A.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action for this frame: Bố eases upward, then presses closer to center. All four guide gaps become more even and the key slides farther down. He shifts pressure toward one edge again; the key tilts and binds against a guide post. Meo compares the unequal corner gaps with the brief centered descent.
Freeze the clearest instant of the main cause-and-effect action. Make Meo's observation and Bố's indispensable physical action simultaneously readable.
Camera: adapt this approved moving-shot direction into one readable still composition: one medium-wide low-angle shot beside a giant soft toy-keyboard key inside the Tiny World. No cuts.
Visible physics/mechanism that must read correctly: off-center force creates torque that tilts the keycap and presses its guides sideways; centered force distributes load evenly so the cap descends parallel to the posts.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5" s="28" t="str">
        <x:v>P08-S01-MEO-PRIMARY.REFERENCE.png|P08-S01-MEO-SECONDARY.REFERENCE.png|P08-S01-BO-FRONT.REFERENCE.jpg|P08-S01-BO-SIDE.REFERENCE.jpg</x:v>
      </x:c>
      <x:c r="E45" t="inlineStr">
        <x:is>
          <x:t>20260823-1738-pilot08-s01-image-queue</x:t>
        </x:is>
      </x:c>
      <x:c r="F45" t="inlineStr">
        <x:is>
          <x:t>Pilot08-S01.IMAGE-QUEUE__results__v{version}.xlsx</x:t>
        </x:is>
      </x:c>
      <x:c r="G45" t="inlineStr">
        <x:is>
          <x:t>Pilot08-S01.IMAGE-QUEUE__results__v01.xlsx</x:t>
        </x:is>
      </x:c>
      <x:c r="H45" t="inlineStr">
        <x:is>
          <x:t>Authorized folder handle: Pilot-08 (absolute path unavailable)</x:t>
        </x:is>
      </x:c>
      <x:c r="I45" t="inlineStr">
        <x:is>
          <x:t>Authorized folder handle: Pilot-08 (absolute path unavailable)/Pilot08-S01.IMAGE-QUEUE__results__v{version}.xlsx</x:t>
        </x:is>
      </x:c>
      <x:c r="J45" t="inlineStr">
        <x:is>
          <x:t>{job_id}</x:t>
        </x:is>
      </x:c>
      <x:c r="K45" t="inlineStr">
        <x:is>
          <x:t>uniquify</x:t>
        </x:is>
      </x:c>
      <x:c r="L45" t="inlineStr">
        <x:is>
          <x:t>true</x:t>
        </x:is>
      </x:c>
      <x:c r="M45" t="inlineStr">
        <x:is>
          <x:t>true</x:t>
        </x:is>
      </x:c>
      <x:c r="N45" t="inlineStr">
        <x:is>
          <x:t>true</x:t>
        </x:is>
      </x:c>
      <x:c r="O45" t="inlineStr">
        <x:is>
          <x:t/>
        </x:is>
      </x:c>
      <x:c r="P45" t="inlineStr">
        <x:is>
          <x:t>900</x:t>
        </x:is>
      </x:c>
      <x:c r="Q45" t="inlineStr">
        <x:is>
          <x:t>2</x:t>
        </x:is>
      </x:c>
      <x:c r="R45" t="inlineStr">
        <x:is>
          <x:t>8-12</x:t>
        </x:is>
      </x:c>
      <x:c r="S45" t="inlineStr">
        <x:is>
          <x:t>5</x:t>
        </x:is>
      </x:c>
      <x:c r="T45" t="inlineStr">
        <x:is>
          <x:t>false</x:t>
        </x:is>
      </x:c>
      <x:c r="U45" t="inlineStr">
        <x:is>
          <x:t>false</x:t>
        </x:is>
      </x:c>
    </x:row>
    <x:row r="46" ht="405" customHeight="1">
      <x:c r="A46" s="25" t="n">
        <x:v>45</x:v>
      </x:c>
      <x:c r="B46" s="26" t="str">
        <x:v>P08-S01-I001-S1-07A-F03</x:v>
      </x:c>
      <x:c r="C46" s="27" t="str">
        <x:v>Create a storyboard concept still for Pilot 8 source clip I001-S1-07A, story 7A.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action for this frame: Meo points to the center star and traces equal spacing around the four guide marks. Bố holds the key still. the key remains partly lowered with one corner slightly lower and all four guide posts visible. End unresolved.
Preserve the visibly unresolved Part A end state; do not solve the problem early.
Camera: adapt this approved moving-shot direction into one readable still composition: one medium-wide low-angle shot beside a giant soft toy-keyboard key inside the Tiny World. No cuts.
Visible physics/mechanism that must read correctly: off-center force creates torque that tilts the keycap and presses its guides sideways; centered force distributes load evenly so the cap descends parallel to the posts.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6" s="28" t="str">
        <x:v>P08-S01-MEO-PRIMARY.REFERENCE.png|P08-S01-MEO-SECONDARY.REFERENCE.png|P08-S01-BO-FRONT.REFERENCE.jpg|P08-S01-BO-SIDE.REFERENCE.jpg</x:v>
      </x:c>
      <x:c r="E46" t="inlineStr">
        <x:is>
          <x:t>20260823-1738-pilot08-s01-image-queue</x:t>
        </x:is>
      </x:c>
      <x:c r="F46" t="inlineStr">
        <x:is>
          <x:t>Pilot08-S01.IMAGE-QUEUE__results__v{version}.xlsx</x:t>
        </x:is>
      </x:c>
      <x:c r="G46" t="inlineStr">
        <x:is>
          <x:t>Pilot08-S01.IMAGE-QUEUE__results__v01.xlsx</x:t>
        </x:is>
      </x:c>
      <x:c r="H46" t="inlineStr">
        <x:is>
          <x:t>Authorized folder handle: Pilot-08 (absolute path unavailable)</x:t>
        </x:is>
      </x:c>
      <x:c r="I46" t="inlineStr">
        <x:is>
          <x:t>Authorized folder handle: Pilot-08 (absolute path unavailable)/Pilot08-S01.IMAGE-QUEUE__results__v{version}.xlsx</x:t>
        </x:is>
      </x:c>
      <x:c r="J46" t="inlineStr">
        <x:is>
          <x:t>{job_id}</x:t>
        </x:is>
      </x:c>
      <x:c r="K46" t="inlineStr">
        <x:is>
          <x:t>uniquify</x:t>
        </x:is>
      </x:c>
      <x:c r="L46" t="inlineStr">
        <x:is>
          <x:t>true</x:t>
        </x:is>
      </x:c>
      <x:c r="M46" t="inlineStr">
        <x:is>
          <x:t>true</x:t>
        </x:is>
      </x:c>
      <x:c r="N46" t="inlineStr">
        <x:is>
          <x:t>true</x:t>
        </x:is>
      </x:c>
      <x:c r="O46" t="inlineStr">
        <x:is>
          <x:t/>
        </x:is>
      </x:c>
      <x:c r="P46" t="inlineStr">
        <x:is>
          <x:t>900</x:t>
        </x:is>
      </x:c>
      <x:c r="Q46" t="inlineStr">
        <x:is>
          <x:t>2</x:t>
        </x:is>
      </x:c>
      <x:c r="R46" t="inlineStr">
        <x:is>
          <x:t>8-12</x:t>
        </x:is>
      </x:c>
      <x:c r="S46" t="inlineStr">
        <x:is>
          <x:t>5</x:t>
        </x:is>
      </x:c>
      <x:c r="T46" t="inlineStr">
        <x:is>
          <x:t>false</x:t>
        </x:is>
      </x:c>
      <x:c r="U46" t="inlineStr">
        <x:is>
          <x:t>false</x:t>
        </x:is>
      </x:c>
    </x:row>
    <x:row r="47" ht="405" customHeight="1">
      <x:c r="A47" s="25" t="n">
        <x:v>46</x:v>
      </x:c>
      <x:c r="B47" s="26" t="str">
        <x:v>P08-S01-I001-S1-07B-F01</x:v>
      </x:c>
      <x:c r="C47" s="27" t="str">
        <x:v>Create a storyboard concept still for Pilot 8 source clip I001-S1-07B, story 7B.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soft toy-keyboard key is partly lowered with one corner slightly lower. All four guide posts remain visible. Bố holds the press handle. Meo stands beside the center star and guide-gap marks, outside the key footprint.
Exact frozen action for this frame: Meo points to the center star, then the four unequal gaps, signaling Bố to move his hands toward the middle.
Show the opening physical state and every prop needed to understand the coming cause-and-effect.
Camera: adapt this approved moving-shot direction into one readable still composition: one medium-wide continuity shot from the same low angle, keeping the giant keycap, four guide posts and center star visible. No cuts.
Visible physics/mechanism that must read correctly: centered downward force distributes load across all four guides, removing sideways torque and allowing parallel motion.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7" s="28" t="str">
        <x:v>P08-S01-MEO-PRIMARY.REFERENCE.png|P08-S01-MEO-SECONDARY.REFERENCE.png|P08-S01-BO-FRONT.REFERENCE.jpg|P08-S01-BO-SIDE.REFERENCE.jpg</x:v>
      </x:c>
      <x:c r="E47" t="inlineStr">
        <x:is>
          <x:t>20260823-1738-pilot08-s01-image-queue</x:t>
        </x:is>
      </x:c>
      <x:c r="F47" t="inlineStr">
        <x:is>
          <x:t>Pilot08-S01.IMAGE-QUEUE__results__v{version}.xlsx</x:t>
        </x:is>
      </x:c>
      <x:c r="G47" t="inlineStr">
        <x:is>
          <x:t>Pilot08-S01.IMAGE-QUEUE__results__v01.xlsx</x:t>
        </x:is>
      </x:c>
      <x:c r="H47" t="inlineStr">
        <x:is>
          <x:t>Authorized folder handle: Pilot-08 (absolute path unavailable)</x:t>
        </x:is>
      </x:c>
      <x:c r="I47" t="inlineStr">
        <x:is>
          <x:t>Authorized folder handle: Pilot-08 (absolute path unavailable)/Pilot08-S01.IMAGE-QUEUE__results__v{version}.xlsx</x:t>
        </x:is>
      </x:c>
      <x:c r="J47" t="inlineStr">
        <x:is>
          <x:t>{job_id}</x:t>
        </x:is>
      </x:c>
      <x:c r="K47" t="inlineStr">
        <x:is>
          <x:t>uniquify</x:t>
        </x:is>
      </x:c>
      <x:c r="L47" t="inlineStr">
        <x:is>
          <x:t>true</x:t>
        </x:is>
      </x:c>
      <x:c r="M47" t="inlineStr">
        <x:is>
          <x:t>true</x:t>
        </x:is>
      </x:c>
      <x:c r="N47" t="inlineStr">
        <x:is>
          <x:t>true</x:t>
        </x:is>
      </x:c>
      <x:c r="O47" t="inlineStr">
        <x:is>
          <x:t/>
        </x:is>
      </x:c>
      <x:c r="P47" t="inlineStr">
        <x:is>
          <x:t>900</x:t>
        </x:is>
      </x:c>
      <x:c r="Q47" t="inlineStr">
        <x:is>
          <x:t>2</x:t>
        </x:is>
      </x:c>
      <x:c r="R47" t="inlineStr">
        <x:is>
          <x:t>8-12</x:t>
        </x:is>
      </x:c>
      <x:c r="S47" t="inlineStr">
        <x:is>
          <x:t>5</x:t>
        </x:is>
      </x:c>
      <x:c r="T47" t="inlineStr">
        <x:is>
          <x:t>false</x:t>
        </x:is>
      </x:c>
      <x:c r="U47" t="inlineStr">
        <x:is>
          <x:t>false</x:t>
        </x:is>
      </x:c>
    </x:row>
    <x:row r="48" ht="405" customHeight="1">
      <x:c r="A48" s="25" t="n">
        <x:v>47</x:v>
      </x:c>
      <x:c r="B48" s="26" t="str">
        <x:v>P08-S01-I001-S1-07B-F02</x:v>
      </x:c>
      <x:c r="C48" s="27" t="str">
        <x:v>Create a storyboard concept still for Pilot 8 source clip I001-S1-07B, story 7B.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soft toy-keyboard key is partly lowered with one corner slightly lower. All four guide posts remain visible. Bố holds the press handle. Meo stands beside the center star and guide-gap marks, outside the key footprint.
Exact frozen action for this frame: Bố centers both hands and presses downward. The tilted corner returns into alignment as the keycap settles parallel to the foam base. Meo watches all four guide gaps become equal and signals him to continue. The key slides smoothly down the posts.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giant keycap, four guide posts and center star visible. No cuts.
Visible physics/mechanism that must read correctly: centered downward force distributes load across all four guides, removing sideways torque and allowing parallel motion.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8" s="28" t="str">
        <x:v>P08-S01-MEO-PRIMARY.REFERENCE.png|P08-S01-MEO-SECONDARY.REFERENCE.png|P08-S01-BO-FRONT.REFERENCE.jpg|P08-S01-BO-SIDE.REFERENCE.jpg</x:v>
      </x:c>
      <x:c r="E48" t="inlineStr">
        <x:is>
          <x:t>20260823-1738-pilot08-s01-image-queue</x:t>
        </x:is>
      </x:c>
      <x:c r="F48" t="inlineStr">
        <x:is>
          <x:t>Pilot08-S01.IMAGE-QUEUE__results__v{version}.xlsx</x:t>
        </x:is>
      </x:c>
      <x:c r="G48" t="inlineStr">
        <x:is>
          <x:t>Pilot08-S01.IMAGE-QUEUE__results__v01.xlsx</x:t>
        </x:is>
      </x:c>
      <x:c r="H48" t="inlineStr">
        <x:is>
          <x:t>Authorized folder handle: Pilot-08 (absolute path unavailable)</x:t>
        </x:is>
      </x:c>
      <x:c r="I48" t="inlineStr">
        <x:is>
          <x:t>Authorized folder handle: Pilot-08 (absolute path unavailable)/Pilot08-S01.IMAGE-QUEUE__results__v{version}.xlsx</x:t>
        </x:is>
      </x:c>
      <x:c r="J48" t="inlineStr">
        <x:is>
          <x:t>{job_id}</x:t>
        </x:is>
      </x:c>
      <x:c r="K48" t="inlineStr">
        <x:is>
          <x:t>uniquify</x:t>
        </x:is>
      </x:c>
      <x:c r="L48" t="inlineStr">
        <x:is>
          <x:t>true</x:t>
        </x:is>
      </x:c>
      <x:c r="M48" t="inlineStr">
        <x:is>
          <x:t>true</x:t>
        </x:is>
      </x:c>
      <x:c r="N48" t="inlineStr">
        <x:is>
          <x:t>true</x:t>
        </x:is>
      </x:c>
      <x:c r="O48" t="inlineStr">
        <x:is>
          <x:t/>
        </x:is>
      </x:c>
      <x:c r="P48" t="inlineStr">
        <x:is>
          <x:t>900</x:t>
        </x:is>
      </x:c>
      <x:c r="Q48" t="inlineStr">
        <x:is>
          <x:t>2</x:t>
        </x:is>
      </x:c>
      <x:c r="R48" t="inlineStr">
        <x:is>
          <x:t>8-12</x:t>
        </x:is>
      </x:c>
      <x:c r="S48" t="inlineStr">
        <x:is>
          <x:t>5</x:t>
        </x:is>
      </x:c>
      <x:c r="T48" t="inlineStr">
        <x:is>
          <x:t>false</x:t>
        </x:is>
      </x:c>
      <x:c r="U48" t="inlineStr">
        <x:is>
          <x:t>false</x:t>
        </x:is>
      </x:c>
    </x:row>
    <x:row r="49" ht="405" customHeight="1">
      <x:c r="A49" s="25" t="n">
        <x:v>48</x:v>
      </x:c>
      <x:c r="B49" s="26" t="str">
        <x:v>P08-S01-I001-S1-07B-F03</x:v>
      </x:c>
      <x:c r="C49" s="27" t="str">
        <x:v>Create a storyboard concept still for Pilot 8 source clip I001-S1-07B, story 7B.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soft toy-keyboard key is partly lowered with one corner slightly lower. All four guide posts remain visible. Bố holds the press handle. Meo stands beside the center star and guide-gap marks, outside the key footprint.
Exact frozen action for this frame: the cap reaches a padded stop. Bố holds it there and seats the handle into a soft center catch. the star-shaped inset glows warmly. Meo says in Vietnamese, with a pleased five-year-old voice: “Bố ơi, nút xuống thẳng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giant keycap, four guide posts and center star visible. No cuts.
Visible physics/mechanism that must read correctly: centered downward force distributes load across all four guides, removing sideways torque and allowing parallel motion.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9" s="28" t="str">
        <x:v>P08-S01-MEO-PRIMARY.REFERENCE.png|P08-S01-MEO-SECONDARY.REFERENCE.png|P08-S01-BO-FRONT.REFERENCE.jpg|P08-S01-BO-SIDE.REFERENCE.jpg</x:v>
      </x:c>
      <x:c r="E49" t="inlineStr">
        <x:is>
          <x:t>20260823-1738-pilot08-s01-image-queue</x:t>
        </x:is>
      </x:c>
      <x:c r="F49" t="inlineStr">
        <x:is>
          <x:t>Pilot08-S01.IMAGE-QUEUE__results__v{version}.xlsx</x:t>
        </x:is>
      </x:c>
      <x:c r="G49" t="inlineStr">
        <x:is>
          <x:t>Pilot08-S01.IMAGE-QUEUE__results__v01.xlsx</x:t>
        </x:is>
      </x:c>
      <x:c r="H49" t="inlineStr">
        <x:is>
          <x:t>Authorized folder handle: Pilot-08 (absolute path unavailable)</x:t>
        </x:is>
      </x:c>
      <x:c r="I49" t="inlineStr">
        <x:is>
          <x:t>Authorized folder handle: Pilot-08 (absolute path unavailable)/Pilot08-S01.IMAGE-QUEUE__results__v{version}.xlsx</x:t>
        </x:is>
      </x:c>
      <x:c r="J49" t="inlineStr">
        <x:is>
          <x:t>{job_id}</x:t>
        </x:is>
      </x:c>
      <x:c r="K49" t="inlineStr">
        <x:is>
          <x:t>uniquify</x:t>
        </x:is>
      </x:c>
      <x:c r="L49" t="inlineStr">
        <x:is>
          <x:t>true</x:t>
        </x:is>
      </x:c>
      <x:c r="M49" t="inlineStr">
        <x:is>
          <x:t>true</x:t>
        </x:is>
      </x:c>
      <x:c r="N49" t="inlineStr">
        <x:is>
          <x:t>true</x:t>
        </x:is>
      </x:c>
      <x:c r="O49" t="inlineStr">
        <x:is>
          <x:t/>
        </x:is>
      </x:c>
      <x:c r="P49" t="inlineStr">
        <x:is>
          <x:t>900</x:t>
        </x:is>
      </x:c>
      <x:c r="Q49" t="inlineStr">
        <x:is>
          <x:t>2</x:t>
        </x:is>
      </x:c>
      <x:c r="R49" t="inlineStr">
        <x:is>
          <x:t>8-12</x:t>
        </x:is>
      </x:c>
      <x:c r="S49" t="inlineStr">
        <x:is>
          <x:t>5</x:t>
        </x:is>
      </x:c>
      <x:c r="T49" t="inlineStr">
        <x:is>
          <x:t>false</x:t>
        </x:is>
      </x:c>
      <x:c r="U49" t="inlineStr">
        <x:is>
          <x:t>false</x:t>
        </x:is>
      </x:c>
    </x:row>
    <x:row r="50" ht="405" customHeight="1">
      <x:c r="A50" s="25" t="n">
        <x:v>49</x:v>
      </x:c>
      <x:c r="B50" s="26" t="str">
        <x:v>P08-S01-I001-S1-08A-F01</x:v>
      </x:c>
      <x:c r="C50" s="27" t="str">
        <x:v>Create a storyboard concept still for Pilot 8 source clip I001-S1-08A, story 8A.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action for this frame: Bố rolls the rear car toward the front car. Before the couplers touch, the rear car gently rolls backward as the enclosed magnets repel.
Show the opening physical state and every prop needed to understand the coming cause-and-effect.
Camera: adapt this approved moving-shot direction into one readable still composition: one medium-wide miniature-ground three-quarter shot beside two giant wooden toy train cars on a fixed floor track. No cuts.
Visible physics/mechanism that must read correctly: like magnetic poles repel; rotating the enclosed coupler changes its pole orientation, reducing repulsion as it approaches the opposite-pole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0" s="28" t="str">
        <x:v>P08-S01-MEO-PRIMARY.REFERENCE.png|P08-S01-MEO-SECONDARY.REFERENCE.png|P08-S01-BO-FRONT.REFERENCE.jpg|P08-S01-BO-SIDE.REFERENCE.jpg</x:v>
      </x:c>
      <x:c r="E50" t="inlineStr">
        <x:is>
          <x:t>20260823-1738-pilot08-s01-image-queue</x:t>
        </x:is>
      </x:c>
      <x:c r="F50" t="inlineStr">
        <x:is>
          <x:t>Pilot08-S01.IMAGE-QUEUE__results__v{version}.xlsx</x:t>
        </x:is>
      </x:c>
      <x:c r="G50" t="inlineStr">
        <x:is>
          <x:t>Pilot08-S01.IMAGE-QUEUE__results__v01.xlsx</x:t>
        </x:is>
      </x:c>
      <x:c r="H50" t="inlineStr">
        <x:is>
          <x:t>Authorized folder handle: Pilot-08 (absolute path unavailable)</x:t>
        </x:is>
      </x:c>
      <x:c r="I50" t="inlineStr">
        <x:is>
          <x:t>Authorized folder handle: Pilot-08 (absolute path unavailable)/Pilot08-S01.IMAGE-QUEUE__results__v{version}.xlsx</x:t>
        </x:is>
      </x:c>
      <x:c r="J50" t="inlineStr">
        <x:is>
          <x:t>{job_id}</x:t>
        </x:is>
      </x:c>
      <x:c r="K50" t="inlineStr">
        <x:is>
          <x:t>uniquify</x:t>
        </x:is>
      </x:c>
      <x:c r="L50" t="inlineStr">
        <x:is>
          <x:t>true</x:t>
        </x:is>
      </x:c>
      <x:c r="M50" t="inlineStr">
        <x:is>
          <x:t>true</x:t>
        </x:is>
      </x:c>
      <x:c r="N50" t="inlineStr">
        <x:is>
          <x:t>true</x:t>
        </x:is>
      </x:c>
      <x:c r="O50" t="inlineStr">
        <x:is>
          <x:t/>
        </x:is>
      </x:c>
      <x:c r="P50" t="inlineStr">
        <x:is>
          <x:t>900</x:t>
        </x:is>
      </x:c>
      <x:c r="Q50" t="inlineStr">
        <x:is>
          <x:t>2</x:t>
        </x:is>
      </x:c>
      <x:c r="R50" t="inlineStr">
        <x:is>
          <x:t>8-12</x:t>
        </x:is>
      </x:c>
      <x:c r="S50" t="inlineStr">
        <x:is>
          <x:t>5</x:t>
        </x:is>
      </x:c>
      <x:c r="T50" t="inlineStr">
        <x:is>
          <x:t>false</x:t>
        </x:is>
      </x:c>
      <x:c r="U50" t="inlineStr">
        <x:is>
          <x:t>false</x:t>
        </x:is>
      </x:c>
    </x:row>
    <x:row r="51" ht="405" customHeight="1">
      <x:c r="A51" s="25" t="n">
        <x:v>50</x:v>
      </x:c>
      <x:c r="B51" s="26" t="str">
        <x:v>P08-S01-I001-S1-08A-F02</x:v>
      </x:c>
      <x:c r="C51" s="27" t="str">
        <x:v>Create a storyboard concept still for Pilot 8 source clip I001-S1-08A, story 8A.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action for this frame: Bố stops the car and rotates the rear coupler partway. He tries again. Repulsion weakens and the gap becomes smaller, but the cars still do not connect. Meo watches the colored halves change orientation and compares the larger first gap with the smaller second gap.
Freeze the clearest instant of the main cause-and-effect action. Make Meo's observation and Bố's indispensable physical action simultaneously readable.
Camera: adapt this approved moving-shot direction into one readable still composition: one medium-wide miniature-ground three-quarter shot beside two giant wooden toy train cars on a fixed floor track. No cuts.
Visible physics/mechanism that must read correctly: like magnetic poles repel; rotating the enclosed coupler changes its pole orientation, reducing repulsion as it approaches the opposite-pole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1" s="28" t="str">
        <x:v>P08-S01-MEO-PRIMARY.REFERENCE.png|P08-S01-MEO-SECONDARY.REFERENCE.png|P08-S01-BO-FRONT.REFERENCE.jpg|P08-S01-BO-SIDE.REFERENCE.jpg</x:v>
      </x:c>
      <x:c r="E51" t="inlineStr">
        <x:is>
          <x:t>20260823-1738-pilot08-s01-image-queue</x:t>
        </x:is>
      </x:c>
      <x:c r="F51" t="inlineStr">
        <x:is>
          <x:t>Pilot08-S01.IMAGE-QUEUE__results__v{version}.xlsx</x:t>
        </x:is>
      </x:c>
      <x:c r="G51" t="inlineStr">
        <x:is>
          <x:t>Pilot08-S01.IMAGE-QUEUE__results__v01.xlsx</x:t>
        </x:is>
      </x:c>
      <x:c r="H51" t="inlineStr">
        <x:is>
          <x:t>Authorized folder handle: Pilot-08 (absolute path unavailable)</x:t>
        </x:is>
      </x:c>
      <x:c r="I51" t="inlineStr">
        <x:is>
          <x:t>Authorized folder handle: Pilot-08 (absolute path unavailable)/Pilot08-S01.IMAGE-QUEUE__results__v{version}.xlsx</x:t>
        </x:is>
      </x:c>
      <x:c r="J51" t="inlineStr">
        <x:is>
          <x:t>{job_id}</x:t>
        </x:is>
      </x:c>
      <x:c r="K51" t="inlineStr">
        <x:is>
          <x:t>uniquify</x:t>
        </x:is>
      </x:c>
      <x:c r="L51" t="inlineStr">
        <x:is>
          <x:t>true</x:t>
        </x:is>
      </x:c>
      <x:c r="M51" t="inlineStr">
        <x:is>
          <x:t>true</x:t>
        </x:is>
      </x:c>
      <x:c r="N51" t="inlineStr">
        <x:is>
          <x:t>true</x:t>
        </x:is>
      </x:c>
      <x:c r="O51" t="inlineStr">
        <x:is>
          <x:t/>
        </x:is>
      </x:c>
      <x:c r="P51" t="inlineStr">
        <x:is>
          <x:t>900</x:t>
        </x:is>
      </x:c>
      <x:c r="Q51" t="inlineStr">
        <x:is>
          <x:t>2</x:t>
        </x:is>
      </x:c>
      <x:c r="R51" t="inlineStr">
        <x:is>
          <x:t>8-12</x:t>
        </x:is>
      </x:c>
      <x:c r="S51" t="inlineStr">
        <x:is>
          <x:t>5</x:t>
        </x:is>
      </x:c>
      <x:c r="T51" t="inlineStr">
        <x:is>
          <x:t>false</x:t>
        </x:is>
      </x:c>
      <x:c r="U51" t="inlineStr">
        <x:is>
          <x:t>false</x:t>
        </x:is>
      </x:c>
    </x:row>
    <x:row r="52" ht="405" customHeight="1">
      <x:c r="A52" s="25" t="n">
        <x:v>51</x:v>
      </x:c>
      <x:c r="B52" s="26" t="str">
        <x:v>P08-S01-I001-S1-08A-F03</x:v>
      </x:c>
      <x:c r="C52" s="27" t="str">
        <x:v>Create a storyboard concept still for Pilot 8 source clip I001-S1-08A, story 8A.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action for this frame: Meo points in the same rotation direction, then toward the opposite-colored half of the front coupler. Bố holds the rear car still with the drum halfway turned. the cars remain separated by a small safe gap. End unresolved.
Preserve the visibly unresolved Part A end state; do not solve the problem early.
Camera: adapt this approved moving-shot direction into one readable still composition: one medium-wide miniature-ground three-quarter shot beside two giant wooden toy train cars on a fixed floor track. No cuts.
Visible physics/mechanism that must read correctly: like magnetic poles repel; rotating the enclosed coupler changes its pole orientation, reducing repulsion as it approaches the opposite-pole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2" s="28" t="str">
        <x:v>P08-S01-MEO-PRIMARY.REFERENCE.png|P08-S01-MEO-SECONDARY.REFERENCE.png|P08-S01-BO-FRONT.REFERENCE.jpg|P08-S01-BO-SIDE.REFERENCE.jpg</x:v>
      </x:c>
      <x:c r="E52" t="inlineStr">
        <x:is>
          <x:t>20260823-1738-pilot08-s01-image-queue</x:t>
        </x:is>
      </x:c>
      <x:c r="F52" t="inlineStr">
        <x:is>
          <x:t>Pilot08-S01.IMAGE-QUEUE__results__v{version}.xlsx</x:t>
        </x:is>
      </x:c>
      <x:c r="G52" t="inlineStr">
        <x:is>
          <x:t>Pilot08-S01.IMAGE-QUEUE__results__v01.xlsx</x:t>
        </x:is>
      </x:c>
      <x:c r="H52" t="inlineStr">
        <x:is>
          <x:t>Authorized folder handle: Pilot-08 (absolute path unavailable)</x:t>
        </x:is>
      </x:c>
      <x:c r="I52" t="inlineStr">
        <x:is>
          <x:t>Authorized folder handle: Pilot-08 (absolute path unavailable)/Pilot08-S01.IMAGE-QUEUE__results__v{version}.xlsx</x:t>
        </x:is>
      </x:c>
      <x:c r="J52" t="inlineStr">
        <x:is>
          <x:t>{job_id}</x:t>
        </x:is>
      </x:c>
      <x:c r="K52" t="inlineStr">
        <x:is>
          <x:t>uniquify</x:t>
        </x:is>
      </x:c>
      <x:c r="L52" t="inlineStr">
        <x:is>
          <x:t>true</x:t>
        </x:is>
      </x:c>
      <x:c r="M52" t="inlineStr">
        <x:is>
          <x:t>true</x:t>
        </x:is>
      </x:c>
      <x:c r="N52" t="inlineStr">
        <x:is>
          <x:t>true</x:t>
        </x:is>
      </x:c>
      <x:c r="O52" t="inlineStr">
        <x:is>
          <x:t/>
        </x:is>
      </x:c>
      <x:c r="P52" t="inlineStr">
        <x:is>
          <x:t>900</x:t>
        </x:is>
      </x:c>
      <x:c r="Q52" t="inlineStr">
        <x:is>
          <x:t>2</x:t>
        </x:is>
      </x:c>
      <x:c r="R52" t="inlineStr">
        <x:is>
          <x:t>8-12</x:t>
        </x:is>
      </x:c>
      <x:c r="S52" t="inlineStr">
        <x:is>
          <x:t>5</x:t>
        </x:is>
      </x:c>
      <x:c r="T52" t="inlineStr">
        <x:is>
          <x:t>false</x:t>
        </x:is>
      </x:c>
      <x:c r="U52" t="inlineStr">
        <x:is>
          <x:t>false</x:t>
        </x:is>
      </x:c>
    </x:row>
    <x:row r="53" ht="405" customHeight="1">
      <x:c r="A53" s="25" t="n">
        <x:v>52</x:v>
      </x:c>
      <x:c r="B53" s="26" t="str">
        <x:v>P08-S01-I001-S1-08B-F01</x:v>
      </x:c>
      <x:c r="C53" s="27" t="str">
        <x:v>Create a storyboard concept still for Pilot 8 source clip I001-S1-08B, story 8B.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train cars remain separated by a safe gap on fixed low rails. The rear coupler is halfway turned. Bố holds the push handle and coupler rotation handle. Meo stands behind the safety line.
Exact frozen action for this frame: Meo points in the rotation direction, then to the opposite-colored face on the front coupler. Bố holds the rear car still.
Show the opening physical state and every prop needed to understand the coming cause-and-effect.
Camera: adapt this approved moving-shot direction into one readable still composition: one medium-wide continuity shot from the same miniature-ground angle, keeping both train cars, the gap and rear coupler visible. No cuts.
Visible physics/mechanism that must read correctly: rotating the enclosed coupler places opposite magnetic poles face to face; opposite poles attract and pull the padded couplers together.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3" s="28" t="str">
        <x:v>P08-S01-MEO-PRIMARY.REFERENCE.png|P08-S01-MEO-SECONDARY.REFERENCE.png|P08-S01-BO-FRONT.REFERENCE.jpg|P08-S01-BO-SIDE.REFERENCE.jpg</x:v>
      </x:c>
      <x:c r="E53" t="inlineStr">
        <x:is>
          <x:t>20260823-1738-pilot08-s01-image-queue</x:t>
        </x:is>
      </x:c>
      <x:c r="F53" t="inlineStr">
        <x:is>
          <x:t>Pilot08-S01.IMAGE-QUEUE__results__v{version}.xlsx</x:t>
        </x:is>
      </x:c>
      <x:c r="G53" t="inlineStr">
        <x:is>
          <x:t>Pilot08-S01.IMAGE-QUEUE__results__v01.xlsx</x:t>
        </x:is>
      </x:c>
      <x:c r="H53" t="inlineStr">
        <x:is>
          <x:t>Authorized folder handle: Pilot-08 (absolute path unavailable)</x:t>
        </x:is>
      </x:c>
      <x:c r="I53" t="inlineStr">
        <x:is>
          <x:t>Authorized folder handle: Pilot-08 (absolute path unavailable)/Pilot08-S01.IMAGE-QUEUE__results__v{version}.xlsx</x:t>
        </x:is>
      </x:c>
      <x:c r="J53" t="inlineStr">
        <x:is>
          <x:t>{job_id}</x:t>
        </x:is>
      </x:c>
      <x:c r="K53" t="inlineStr">
        <x:is>
          <x:t>uniquify</x:t>
        </x:is>
      </x:c>
      <x:c r="L53" t="inlineStr">
        <x:is>
          <x:t>true</x:t>
        </x:is>
      </x:c>
      <x:c r="M53" t="inlineStr">
        <x:is>
          <x:t>true</x:t>
        </x:is>
      </x:c>
      <x:c r="N53" t="inlineStr">
        <x:is>
          <x:t>true</x:t>
        </x:is>
      </x:c>
      <x:c r="O53" t="inlineStr">
        <x:is>
          <x:t/>
        </x:is>
      </x:c>
      <x:c r="P53" t="inlineStr">
        <x:is>
          <x:t>900</x:t>
        </x:is>
      </x:c>
      <x:c r="Q53" t="inlineStr">
        <x:is>
          <x:t>2</x:t>
        </x:is>
      </x:c>
      <x:c r="R53" t="inlineStr">
        <x:is>
          <x:t>8-12</x:t>
        </x:is>
      </x:c>
      <x:c r="S53" t="inlineStr">
        <x:is>
          <x:t>5</x:t>
        </x:is>
      </x:c>
      <x:c r="T53" t="inlineStr">
        <x:is>
          <x:t>false</x:t>
        </x:is>
      </x:c>
      <x:c r="U53" t="inlineStr">
        <x:is>
          <x:t>false</x:t>
        </x:is>
      </x:c>
    </x:row>
    <x:row r="54" ht="405" customHeight="1">
      <x:c r="A54" s="25" t="n">
        <x:v>53</x:v>
      </x:c>
      <x:c r="B54" s="26" t="str">
        <x:v>P08-S01-I001-S1-08B-F02</x:v>
      </x:c>
      <x:c r="C54" s="27" t="str">
        <x:v>Create a storyboard concept still for Pilot 8 source clip I001-S1-08B, story 8B.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train cars remain separated by a safe gap on fixed low rails. The rear coupler is halfway turned. Bố holds the push handle and coupler rotation handle. Meo stands behind the safety line.
Exact frozen action for this frame: Bố rotates the rear coupler the rest of the way. Opposite colors face each other. Meo signals ready. Bố releases the rotation handle and rolls the rear car forward. Instead of repelling, the couplers attract across the last gap and meet with a soft padded click.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miniature-ground angle, keeping both train cars, the gap and rear coupler visible. No cuts.
Visible physics/mechanism that must read correctly: rotating the enclosed coupler places opposite magnetic poles face to face; opposite poles attract and pull the padded couplers together.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4" s="28" t="str">
        <x:v>P08-S01-MEO-PRIMARY.REFERENCE.png|P08-S01-MEO-SECONDARY.REFERENCE.png|P08-S01-BO-FRONT.REFERENCE.jpg|P08-S01-BO-SIDE.REFERENCE.jpg</x:v>
      </x:c>
      <x:c r="E54" t="inlineStr">
        <x:is>
          <x:t>20260823-1738-pilot08-s01-image-queue</x:t>
        </x:is>
      </x:c>
      <x:c r="F54" t="inlineStr">
        <x:is>
          <x:t>Pilot08-S01.IMAGE-QUEUE__results__v{version}.xlsx</x:t>
        </x:is>
      </x:c>
      <x:c r="G54" t="inlineStr">
        <x:is>
          <x:t>Pilot08-S01.IMAGE-QUEUE__results__v01.xlsx</x:t>
        </x:is>
      </x:c>
      <x:c r="H54" t="inlineStr">
        <x:is>
          <x:t>Authorized folder handle: Pilot-08 (absolute path unavailable)</x:t>
        </x:is>
      </x:c>
      <x:c r="I54" t="inlineStr">
        <x:is>
          <x:t>Authorized folder handle: Pilot-08 (absolute path unavailable)/Pilot08-S01.IMAGE-QUEUE__results__v{version}.xlsx</x:t>
        </x:is>
      </x:c>
      <x:c r="J54" t="inlineStr">
        <x:is>
          <x:t>{job_id}</x:t>
        </x:is>
      </x:c>
      <x:c r="K54" t="inlineStr">
        <x:is>
          <x:t>uniquify</x:t>
        </x:is>
      </x:c>
      <x:c r="L54" t="inlineStr">
        <x:is>
          <x:t>true</x:t>
        </x:is>
      </x:c>
      <x:c r="M54" t="inlineStr">
        <x:is>
          <x:t>true</x:t>
        </x:is>
      </x:c>
      <x:c r="N54" t="inlineStr">
        <x:is>
          <x:t>true</x:t>
        </x:is>
      </x:c>
      <x:c r="O54" t="inlineStr">
        <x:is>
          <x:t/>
        </x:is>
      </x:c>
      <x:c r="P54" t="inlineStr">
        <x:is>
          <x:t>900</x:t>
        </x:is>
      </x:c>
      <x:c r="Q54" t="inlineStr">
        <x:is>
          <x:t>2</x:t>
        </x:is>
      </x:c>
      <x:c r="R54" t="inlineStr">
        <x:is>
          <x:t>8-12</x:t>
        </x:is>
      </x:c>
      <x:c r="S54" t="inlineStr">
        <x:is>
          <x:t>5</x:t>
        </x:is>
      </x:c>
      <x:c r="T54" t="inlineStr">
        <x:is>
          <x:t>false</x:t>
        </x:is>
      </x:c>
      <x:c r="U54" t="inlineStr">
        <x:is>
          <x:t>false</x:t>
        </x:is>
      </x:c>
    </x:row>
    <x:row r="55" ht="405" customHeight="1">
      <x:c r="A55" s="25" t="n">
        <x:v>54</x:v>
      </x:c>
      <x:c r="B55" s="26" t="str">
        <x:v>P08-S01-I001-S1-08B-F03</x:v>
      </x:c>
      <x:c r="C55" s="27" t="str">
        <x:v>Create a storyboard concept still for Pilot 8 source clip I001-S1-08B, story 8B.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train cars remain separated by a safe gap on fixed low rails. The rear coupler is halfway turned. Bố holds the push handle and coupler rotation handle. Meo stands behind the safety line.
Exact frozen action for this frame: Bố stops the car and locks the push handle into a low track catch. The cars remain joined while Meo checks the aligned halves from behind the safety line. a tiny flag lifts. Meo says in Vietnamese, with a delighted five-year-old voice: “Bố ơi, hai toa hút nhau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miniature-ground angle, keeping both train cars, the gap and rear coupler visible. No cuts.
Visible physics/mechanism that must read correctly: rotating the enclosed coupler places opposite magnetic poles face to face; opposite poles attract and pull the padded couplers together.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5" s="28" t="str">
        <x:v>P08-S01-MEO-PRIMARY.REFERENCE.png|P08-S01-MEO-SECONDARY.REFERENCE.png|P08-S01-BO-FRONT.REFERENCE.jpg|P08-S01-BO-SIDE.REFERENCE.jpg</x:v>
      </x:c>
      <x:c r="E55" t="inlineStr">
        <x:is>
          <x:t>20260823-1738-pilot08-s01-image-queue</x:t>
        </x:is>
      </x:c>
      <x:c r="F55" t="inlineStr">
        <x:is>
          <x:t>Pilot08-S01.IMAGE-QUEUE__results__v{version}.xlsx</x:t>
        </x:is>
      </x:c>
      <x:c r="G55" t="inlineStr">
        <x:is>
          <x:t>Pilot08-S01.IMAGE-QUEUE__results__v01.xlsx</x:t>
        </x:is>
      </x:c>
      <x:c r="H55" t="inlineStr">
        <x:is>
          <x:t>Authorized folder handle: Pilot-08 (absolute path unavailable)</x:t>
        </x:is>
      </x:c>
      <x:c r="I55" t="inlineStr">
        <x:is>
          <x:t>Authorized folder handle: Pilot-08 (absolute path unavailable)/Pilot08-S01.IMAGE-QUEUE__results__v{version}.xlsx</x:t>
        </x:is>
      </x:c>
      <x:c r="J55" t="inlineStr">
        <x:is>
          <x:t>{job_id}</x:t>
        </x:is>
      </x:c>
      <x:c r="K55" t="inlineStr">
        <x:is>
          <x:t>uniquify</x:t>
        </x:is>
      </x:c>
      <x:c r="L55" t="inlineStr">
        <x:is>
          <x:t>true</x:t>
        </x:is>
      </x:c>
      <x:c r="M55" t="inlineStr">
        <x:is>
          <x:t>true</x:t>
        </x:is>
      </x:c>
      <x:c r="N55" t="inlineStr">
        <x:is>
          <x:t>true</x:t>
        </x:is>
      </x:c>
      <x:c r="O55" t="inlineStr">
        <x:is>
          <x:t/>
        </x:is>
      </x:c>
      <x:c r="P55" t="inlineStr">
        <x:is>
          <x:t>900</x:t>
        </x:is>
      </x:c>
      <x:c r="Q55" t="inlineStr">
        <x:is>
          <x:t>2</x:t>
        </x:is>
      </x:c>
      <x:c r="R55" t="inlineStr">
        <x:is>
          <x:t>8-12</x:t>
        </x:is>
      </x:c>
      <x:c r="S55" t="inlineStr">
        <x:is>
          <x:t>5</x:t>
        </x:is>
      </x:c>
      <x:c r="T55" t="inlineStr">
        <x:is>
          <x:t>false</x:t>
        </x:is>
      </x:c>
      <x:c r="U55" t="inlineStr">
        <x:is>
          <x:t>false</x:t>
        </x:is>
      </x:c>
    </x:row>
    <x:row r="56" ht="405" customHeight="1">
      <x:c r="A56" s="25" t="n">
        <x:v>55</x:v>
      </x:c>
      <x:c r="B56" s="26" t="str">
        <x:v>P08-S01-I001-S1-09A-F01</x:v>
      </x:c>
      <x:c r="C56" s="27" t="str">
        <x:v>Create a storyboard concept still for Pilot 8 source clip I001-S1-09A, story 9A.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action for this frame: Bố turns the key gently counterclockwise. The key moves, but the spindle freewheels and the petals do not change.
Show the opening physical state and every prop needed to understand the coming cause-and-effect.
Camera: adapt this approved moving-shot direction into one readable still composition: one medium-wide low-angle shot beside a giant wind-up toy flower inside the Tiny World. No cuts.
Visible physics/mechanism that must read correctly: the pawl engages the ratchet teeth in one direction, advancing the spindle tooth by tooth; the opposite direction freewheels without back-driving it.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6" s="28" t="str">
        <x:v>P08-S01-MEO-PRIMARY.REFERENCE.png|P08-S01-MEO-SECONDARY.REFERENCE.png|P08-S01-BO-FRONT.REFERENCE.jpg|P08-S01-BO-SIDE.REFERENCE.jpg</x:v>
      </x:c>
      <x:c r="E56" t="inlineStr">
        <x:is>
          <x:t>20260823-1738-pilot08-s01-image-queue</x:t>
        </x:is>
      </x:c>
      <x:c r="F56" t="inlineStr">
        <x:is>
          <x:t>Pilot08-S01.IMAGE-QUEUE__results__v{version}.xlsx</x:t>
        </x:is>
      </x:c>
      <x:c r="G56" t="inlineStr">
        <x:is>
          <x:t>Pilot08-S01.IMAGE-QUEUE__results__v01.xlsx</x:t>
        </x:is>
      </x:c>
      <x:c r="H56" t="inlineStr">
        <x:is>
          <x:t>Authorized folder handle: Pilot-08 (absolute path unavailable)</x:t>
        </x:is>
      </x:c>
      <x:c r="I56" t="inlineStr">
        <x:is>
          <x:t>Authorized folder handle: Pilot-08 (absolute path unavailable)/Pilot08-S01.IMAGE-QUEUE__results__v{version}.xlsx</x:t>
        </x:is>
      </x:c>
      <x:c r="J56" t="inlineStr">
        <x:is>
          <x:t>{job_id}</x:t>
        </x:is>
      </x:c>
      <x:c r="K56" t="inlineStr">
        <x:is>
          <x:t>uniquify</x:t>
        </x:is>
      </x:c>
      <x:c r="L56" t="inlineStr">
        <x:is>
          <x:t>true</x:t>
        </x:is>
      </x:c>
      <x:c r="M56" t="inlineStr">
        <x:is>
          <x:t>true</x:t>
        </x:is>
      </x:c>
      <x:c r="N56" t="inlineStr">
        <x:is>
          <x:t>true</x:t>
        </x:is>
      </x:c>
      <x:c r="O56" t="inlineStr">
        <x:is>
          <x:t/>
        </x:is>
      </x:c>
      <x:c r="P56" t="inlineStr">
        <x:is>
          <x:t>900</x:t>
        </x:is>
      </x:c>
      <x:c r="Q56" t="inlineStr">
        <x:is>
          <x:t>2</x:t>
        </x:is>
      </x:c>
      <x:c r="R56" t="inlineStr">
        <x:is>
          <x:t>8-12</x:t>
        </x:is>
      </x:c>
      <x:c r="S56" t="inlineStr">
        <x:is>
          <x:t>5</x:t>
        </x:is>
      </x:c>
      <x:c r="T56" t="inlineStr">
        <x:is>
          <x:t>false</x:t>
        </x:is>
      </x:c>
      <x:c r="U56" t="inlineStr">
        <x:is>
          <x:t>false</x:t>
        </x:is>
      </x:c>
    </x:row>
    <x:row r="57" ht="405" customHeight="1">
      <x:c r="A57" s="25" t="n">
        <x:v>56</x:v>
      </x:c>
      <x:c r="B57" s="26" t="str">
        <x:v>P08-S01-I001-S1-09A-F02</x:v>
      </x:c>
      <x:c r="C57" s="27" t="str">
        <x:v>Create a storyboard concept still for Pilot 8 source clip I001-S1-09A, story 9A.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action for this frame: Bố turns clockwise. The pawl catches a ratchet tooth with a soft click; the spindle advances and one petal opens slightly. He tests counterclockwise again; the key moves without advancing the ratchet. Meo compares the freewheel with the clicking direction and watches the tooth move only clockwise.
Freeze the clearest instant of the main cause-and-effect action. Make Meo's observation and Bố's indispensable physical action simultaneously readable.
Camera: adapt this approved moving-shot direction into one readable still composition: one medium-wide low-angle shot beside a giant wind-up toy flower inside the Tiny World. No cuts.
Visible physics/mechanism that must read correctly: the pawl engages the ratchet teeth in one direction, advancing the spindle tooth by tooth; the opposite direction freewheels without back-driving it.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7" s="28" t="str">
        <x:v>P08-S01-MEO-PRIMARY.REFERENCE.png|P08-S01-MEO-SECONDARY.REFERENCE.png|P08-S01-BO-FRONT.REFERENCE.jpg|P08-S01-BO-SIDE.REFERENCE.jpg</x:v>
      </x:c>
      <x:c r="E57" t="inlineStr">
        <x:is>
          <x:t>20260823-1738-pilot08-s01-image-queue</x:t>
        </x:is>
      </x:c>
      <x:c r="F57" t="inlineStr">
        <x:is>
          <x:t>Pilot08-S01.IMAGE-QUEUE__results__v{version}.xlsx</x:t>
        </x:is>
      </x:c>
      <x:c r="G57" t="inlineStr">
        <x:is>
          <x:t>Pilot08-S01.IMAGE-QUEUE__results__v01.xlsx</x:t>
        </x:is>
      </x:c>
      <x:c r="H57" t="inlineStr">
        <x:is>
          <x:t>Authorized folder handle: Pilot-08 (absolute path unavailable)</x:t>
        </x:is>
      </x:c>
      <x:c r="I57" t="inlineStr">
        <x:is>
          <x:t>Authorized folder handle: Pilot-08 (absolute path unavailable)/Pilot08-S01.IMAGE-QUEUE__results__v{version}.xlsx</x:t>
        </x:is>
      </x:c>
      <x:c r="J57" t="inlineStr">
        <x:is>
          <x:t>{job_id}</x:t>
        </x:is>
      </x:c>
      <x:c r="K57" t="inlineStr">
        <x:is>
          <x:t>uniquify</x:t>
        </x:is>
      </x:c>
      <x:c r="L57" t="inlineStr">
        <x:is>
          <x:t>true</x:t>
        </x:is>
      </x:c>
      <x:c r="M57" t="inlineStr">
        <x:is>
          <x:t>true</x:t>
        </x:is>
      </x:c>
      <x:c r="N57" t="inlineStr">
        <x:is>
          <x:t>true</x:t>
        </x:is>
      </x:c>
      <x:c r="O57" t="inlineStr">
        <x:is>
          <x:t/>
        </x:is>
      </x:c>
      <x:c r="P57" t="inlineStr">
        <x:is>
          <x:t>900</x:t>
        </x:is>
      </x:c>
      <x:c r="Q57" t="inlineStr">
        <x:is>
          <x:t>2</x:t>
        </x:is>
      </x:c>
      <x:c r="R57" t="inlineStr">
        <x:is>
          <x:t>8-12</x:t>
        </x:is>
      </x:c>
      <x:c r="S57" t="inlineStr">
        <x:is>
          <x:t>5</x:t>
        </x:is>
      </x:c>
      <x:c r="T57" t="inlineStr">
        <x:is>
          <x:t>false</x:t>
        </x:is>
      </x:c>
      <x:c r="U57" t="inlineStr">
        <x:is>
          <x:t>false</x:t>
        </x:is>
      </x:c>
    </x:row>
    <x:row r="58" ht="405" customHeight="1">
      <x:c r="A58" s="25" t="n">
        <x:v>57</x:v>
      </x:c>
      <x:c r="B58" s="26" t="str">
        <x:v>P08-S01-I001-S1-09A-F03</x:v>
      </x:c>
      <x:c r="C58" s="27" t="str">
        <x:v>Create a storyboard concept still for Pilot 8 source clip I001-S1-09A, story 9A.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action for this frame: Meo points to the sloped ratchet teeth, then traces the clockwise arrow. Bố holds the key still after one engaged click. the flower remains mostly closed, with one petal slightly open. End unresolved.
Preserve the visibly unresolved Part A end state; do not solve the problem early.
Camera: adapt this approved moving-shot direction into one readable still composition: one medium-wide low-angle shot beside a giant wind-up toy flower inside the Tiny World. No cuts.
Visible physics/mechanism that must read correctly: the pawl engages the ratchet teeth in one direction, advancing the spindle tooth by tooth; the opposite direction freewheels without back-driving it.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8" s="28" t="str">
        <x:v>P08-S01-MEO-PRIMARY.REFERENCE.png|P08-S01-MEO-SECONDARY.REFERENCE.png|P08-S01-BO-FRONT.REFERENCE.jpg|P08-S01-BO-SIDE.REFERENCE.jpg</x:v>
      </x:c>
      <x:c r="E58" t="inlineStr">
        <x:is>
          <x:t>20260823-1738-pilot08-s01-image-queue</x:t>
        </x:is>
      </x:c>
      <x:c r="F58" t="inlineStr">
        <x:is>
          <x:t>Pilot08-S01.IMAGE-QUEUE__results__v{version}.xlsx</x:t>
        </x:is>
      </x:c>
      <x:c r="G58" t="inlineStr">
        <x:is>
          <x:t>Pilot08-S01.IMAGE-QUEUE__results__v01.xlsx</x:t>
        </x:is>
      </x:c>
      <x:c r="H58" t="inlineStr">
        <x:is>
          <x:t>Authorized folder handle: Pilot-08 (absolute path unavailable)</x:t>
        </x:is>
      </x:c>
      <x:c r="I58" t="inlineStr">
        <x:is>
          <x:t>Authorized folder handle: Pilot-08 (absolute path unavailable)/Pilot08-S01.IMAGE-QUEUE__results__v{version}.xlsx</x:t>
        </x:is>
      </x:c>
      <x:c r="J58" t="inlineStr">
        <x:is>
          <x:t>{job_id}</x:t>
        </x:is>
      </x:c>
      <x:c r="K58" t="inlineStr">
        <x:is>
          <x:t>uniquify</x:t>
        </x:is>
      </x:c>
      <x:c r="L58" t="inlineStr">
        <x:is>
          <x:t>true</x:t>
        </x:is>
      </x:c>
      <x:c r="M58" t="inlineStr">
        <x:is>
          <x:t>true</x:t>
        </x:is>
      </x:c>
      <x:c r="N58" t="inlineStr">
        <x:is>
          <x:t>true</x:t>
        </x:is>
      </x:c>
      <x:c r="O58" t="inlineStr">
        <x:is>
          <x:t/>
        </x:is>
      </x:c>
      <x:c r="P58" t="inlineStr">
        <x:is>
          <x:t>900</x:t>
        </x:is>
      </x:c>
      <x:c r="Q58" t="inlineStr">
        <x:is>
          <x:t>2</x:t>
        </x:is>
      </x:c>
      <x:c r="R58" t="inlineStr">
        <x:is>
          <x:t>8-12</x:t>
        </x:is>
      </x:c>
      <x:c r="S58" t="inlineStr">
        <x:is>
          <x:t>5</x:t>
        </x:is>
      </x:c>
      <x:c r="T58" t="inlineStr">
        <x:is>
          <x:t>false</x:t>
        </x:is>
      </x:c>
      <x:c r="U58" t="inlineStr">
        <x:is>
          <x:t>false</x:t>
        </x:is>
      </x:c>
    </x:row>
    <x:row r="59" ht="405" customHeight="1">
      <x:c r="A59" s="25" t="n">
        <x:v>58</x:v>
      </x:c>
      <x:c r="B59" s="26" t="str">
        <x:v>P08-S01-I001-S1-09B-F01</x:v>
      </x:c>
      <x:c r="C59" s="27" t="str">
        <x:v>Create a storyboard concept still for Pilot 8 source clip I001-S1-09B, story 9B.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wind-up flower stands on its foam base. Most petals remain closed; one petal is slightly open. Bố holds the key after one engaged clockwise click. Meo stands beside the direction arrows.
Exact frozen action for this frame: Meo points to the clockwise arrow and the ratchet tooth currently beside the reference mark. Bố keeps the key steady.
Show the opening physical state and every prop needed to understand the coming cause-and-effect.
Camera: adapt this approved moving-shot direction into one readable still composition: one medium-wide continuity shot from the same low angle, keeping the toy flower, winding key and ratchet window visible. No cuts.
Visible physics/mechanism that must read correctly: one-way ratchet engagement converts each clockwise key turn into a small spindle advance while preventing reverse motion; repeated advances open the petals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9" s="28" t="str">
        <x:v>P08-S01-MEO-PRIMARY.REFERENCE.png|P08-S01-MEO-SECONDARY.REFERENCE.png|P08-S01-BO-FRONT.REFERENCE.jpg|P08-S01-BO-SIDE.REFERENCE.jpg</x:v>
      </x:c>
      <x:c r="E59" t="inlineStr">
        <x:is>
          <x:t>20260823-1738-pilot08-s01-image-queue</x:t>
        </x:is>
      </x:c>
      <x:c r="F59" t="inlineStr">
        <x:is>
          <x:t>Pilot08-S01.IMAGE-QUEUE__results__v{version}.xlsx</x:t>
        </x:is>
      </x:c>
      <x:c r="G59" t="inlineStr">
        <x:is>
          <x:t>Pilot08-S01.IMAGE-QUEUE__results__v01.xlsx</x:t>
        </x:is>
      </x:c>
      <x:c r="H59" t="inlineStr">
        <x:is>
          <x:t>Authorized folder handle: Pilot-08 (absolute path unavailable)</x:t>
        </x:is>
      </x:c>
      <x:c r="I59" t="inlineStr">
        <x:is>
          <x:t>Authorized folder handle: Pilot-08 (absolute path unavailable)/Pilot08-S01.IMAGE-QUEUE__results__v{version}.xlsx</x:t>
        </x:is>
      </x:c>
      <x:c r="J59" t="inlineStr">
        <x:is>
          <x:t>{job_id}</x:t>
        </x:is>
      </x:c>
      <x:c r="K59" t="inlineStr">
        <x:is>
          <x:t>uniquify</x:t>
        </x:is>
      </x:c>
      <x:c r="L59" t="inlineStr">
        <x:is>
          <x:t>true</x:t>
        </x:is>
      </x:c>
      <x:c r="M59" t="inlineStr">
        <x:is>
          <x:t>true</x:t>
        </x:is>
      </x:c>
      <x:c r="N59" t="inlineStr">
        <x:is>
          <x:t>true</x:t>
        </x:is>
      </x:c>
      <x:c r="O59" t="inlineStr">
        <x:is>
          <x:t/>
        </x:is>
      </x:c>
      <x:c r="P59" t="inlineStr">
        <x:is>
          <x:t>900</x:t>
        </x:is>
      </x:c>
      <x:c r="Q59" t="inlineStr">
        <x:is>
          <x:t>2</x:t>
        </x:is>
      </x:c>
      <x:c r="R59" t="inlineStr">
        <x:is>
          <x:t>8-12</x:t>
        </x:is>
      </x:c>
      <x:c r="S59" t="inlineStr">
        <x:is>
          <x:t>5</x:t>
        </x:is>
      </x:c>
      <x:c r="T59" t="inlineStr">
        <x:is>
          <x:t>false</x:t>
        </x:is>
      </x:c>
      <x:c r="U59" t="inlineStr">
        <x:is>
          <x:t>false</x:t>
        </x:is>
      </x:c>
    </x:row>
    <x:row r="60" ht="405" customHeight="1">
      <x:c r="A60" s="25" t="n">
        <x:v>59</x:v>
      </x:c>
      <x:c r="B60" s="26" t="str">
        <x:v>P08-S01-I001-S1-09B-F02</x:v>
      </x:c>
      <x:c r="C60" s="27" t="str">
        <x:v>Create a storyboard concept still for Pilot 8 source clip I001-S1-09B, story 9B.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wind-up flower stands on its foam base. Most petals remain closed; one petal is slightly open. Bố holds the key after one engaged clockwise click. Meo stands beside the direction arrows.
Exact frozen action for this frame: Bố turns the padded key slowly clockwise through several short arcs. Each turn makes the covered pawl click over one rounded tooth and advances the spindle. Meo watches the petals open farther with every engaged click and signals him to continue. Nothing snaps or releases suddenly.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toy flower, winding key and ratchet window visible. No cuts.
Visible physics/mechanism that must read correctly: one-way ratchet engagement converts each clockwise key turn into a small spindle advance while preventing reverse motion; repeated advances open the petals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0" s="28" t="str">
        <x:v>P08-S01-MEO-PRIMARY.REFERENCE.png|P08-S01-MEO-SECONDARY.REFERENCE.png|P08-S01-BO-FRONT.REFERENCE.jpg|P08-S01-BO-SIDE.REFERENCE.jpg</x:v>
      </x:c>
      <x:c r="E60" t="inlineStr">
        <x:is>
          <x:t>20260823-1738-pilot08-s01-image-queue</x:t>
        </x:is>
      </x:c>
      <x:c r="F60" t="inlineStr">
        <x:is>
          <x:t>Pilot08-S01.IMAGE-QUEUE__results__v{version}.xlsx</x:t>
        </x:is>
      </x:c>
      <x:c r="G60" t="inlineStr">
        <x:is>
          <x:t>Pilot08-S01.IMAGE-QUEUE__results__v01.xlsx</x:t>
        </x:is>
      </x:c>
      <x:c r="H60" t="inlineStr">
        <x:is>
          <x:t>Authorized folder handle: Pilot-08 (absolute path unavailable)</x:t>
        </x:is>
      </x:c>
      <x:c r="I60" t="inlineStr">
        <x:is>
          <x:t>Authorized folder handle: Pilot-08 (absolute path unavailable)/Pilot08-S01.IMAGE-QUEUE__results__v{version}.xlsx</x:t>
        </x:is>
      </x:c>
      <x:c r="J60" t="inlineStr">
        <x:is>
          <x:t>{job_id}</x:t>
        </x:is>
      </x:c>
      <x:c r="K60" t="inlineStr">
        <x:is>
          <x:t>uniquify</x:t>
        </x:is>
      </x:c>
      <x:c r="L60" t="inlineStr">
        <x:is>
          <x:t>true</x:t>
        </x:is>
      </x:c>
      <x:c r="M60" t="inlineStr">
        <x:is>
          <x:t>true</x:t>
        </x:is>
      </x:c>
      <x:c r="N60" t="inlineStr">
        <x:is>
          <x:t>true</x:t>
        </x:is>
      </x:c>
      <x:c r="O60" t="inlineStr">
        <x:is>
          <x:t/>
        </x:is>
      </x:c>
      <x:c r="P60" t="inlineStr">
        <x:is>
          <x:t>900</x:t>
        </x:is>
      </x:c>
      <x:c r="Q60" t="inlineStr">
        <x:is>
          <x:t>2</x:t>
        </x:is>
      </x:c>
      <x:c r="R60" t="inlineStr">
        <x:is>
          <x:t>8-12</x:t>
        </x:is>
      </x:c>
      <x:c r="S60" t="inlineStr">
        <x:is>
          <x:t>5</x:t>
        </x:is>
      </x:c>
      <x:c r="T60" t="inlineStr">
        <x:is>
          <x:t>false</x:t>
        </x:is>
      </x:c>
      <x:c r="U60" t="inlineStr">
        <x:is>
          <x:t>false</x:t>
        </x:is>
      </x:c>
    </x:row>
    <x:row r="61" ht="405" customHeight="1">
      <x:c r="A61" s="25" t="n">
        <x:v>60</x:v>
      </x:c>
      <x:c r="B61" s="26" t="str">
        <x:v>P08-S01-I001-S1-09B-F03</x:v>
      </x:c>
      <x:c r="C61" s="27" t="str">
        <x:v>Create a storyboard concept still for Pilot 8 source clip I001-S1-09B, story 9B.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wind-up flower stands on its foam base. Most petals remain closed; one petal is slightly open. Bố holds the key after one engaged clockwise click. Meo stands beside the direction arrows.
Exact frozen action for this frame: when the final petal reaches the same angle as the others, Meo signals stop. Bố seats the winding key into a padded resting notch. the giant toy flower glows from an enclosed center. Meo says in Vietnamese, with a delighted five-year-old voice: “Bố ơi, bông hoa mở hết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toy flower, winding key and ratchet window visible. No cuts.
Visible physics/mechanism that must read correctly: one-way ratchet engagement converts each clockwise key turn into a small spindle advance while preventing reverse motion; repeated advances open the petals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1" s="28" t="str">
        <x:v>P08-S01-MEO-PRIMARY.REFERENCE.png|P08-S01-MEO-SECONDARY.REFERENCE.png|P08-S01-BO-FRONT.REFERENCE.jpg|P08-S01-BO-SIDE.REFERENCE.jpg</x:v>
      </x:c>
      <x:c r="E61" t="inlineStr">
        <x:is>
          <x:t>20260823-1738-pilot08-s01-image-queue</x:t>
        </x:is>
      </x:c>
      <x:c r="F61" t="inlineStr">
        <x:is>
          <x:t>Pilot08-S01.IMAGE-QUEUE__results__v{version}.xlsx</x:t>
        </x:is>
      </x:c>
      <x:c r="G61" t="inlineStr">
        <x:is>
          <x:t>Pilot08-S01.IMAGE-QUEUE__results__v01.xlsx</x:t>
        </x:is>
      </x:c>
      <x:c r="H61" t="inlineStr">
        <x:is>
          <x:t>Authorized folder handle: Pilot-08 (absolute path unavailable)</x:t>
        </x:is>
      </x:c>
      <x:c r="I61" t="inlineStr">
        <x:is>
          <x:t>Authorized folder handle: Pilot-08 (absolute path unavailable)/Pilot08-S01.IMAGE-QUEUE__results__v{version}.xlsx</x:t>
        </x:is>
      </x:c>
      <x:c r="J61" t="inlineStr">
        <x:is>
          <x:t>{job_id}</x:t>
        </x:is>
      </x:c>
      <x:c r="K61" t="inlineStr">
        <x:is>
          <x:t>uniquify</x:t>
        </x:is>
      </x:c>
      <x:c r="L61" t="inlineStr">
        <x:is>
          <x:t>true</x:t>
        </x:is>
      </x:c>
      <x:c r="M61" t="inlineStr">
        <x:is>
          <x:t>true</x:t>
        </x:is>
      </x:c>
      <x:c r="N61" t="inlineStr">
        <x:is>
          <x:t>true</x:t>
        </x:is>
      </x:c>
      <x:c r="O61" t="inlineStr">
        <x:is>
          <x:t/>
        </x:is>
      </x:c>
      <x:c r="P61" t="inlineStr">
        <x:is>
          <x:t>900</x:t>
        </x:is>
      </x:c>
      <x:c r="Q61" t="inlineStr">
        <x:is>
          <x:t>2</x:t>
        </x:is>
      </x:c>
      <x:c r="R61" t="inlineStr">
        <x:is>
          <x:t>8-12</x:t>
        </x:is>
      </x:c>
      <x:c r="S61" t="inlineStr">
        <x:is>
          <x:t>5</x:t>
        </x:is>
      </x:c>
      <x:c r="T61" t="inlineStr">
        <x:is>
          <x:t>false</x:t>
        </x:is>
      </x:c>
      <x:c r="U61" t="inlineStr">
        <x:is>
          <x:t>false</x:t>
        </x:is>
      </x:c>
    </x:row>
    <x:row r="62" ht="405" customHeight="1">
      <x:c r="A62" s="25" t="n">
        <x:v>61</x:v>
      </x:c>
      <x:c r="B62" s="26" t="str">
        <x:v>P08-S01-I001-S1-10A-F01</x:v>
      </x:c>
      <x:c r="C62" s="27" t="str">
        <x:v>Create a storyboard concept still for Pilot 8 source clip I001-S1-10A, story 10A.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action for this frame: Bố tries to slide the center block toward the visible door outline. It cannot move because another block occupies the next square.
Show the opening physical state and every prop needed to understand the coming cause-and-effect.
Camera: adapt this approved moving-shot direction into one readable still composition: overhead three-quarter shot of a sliding-block wall at the edge of the Tiny World. No cuts.
Visible physics/mechanism that must read correctly: only a block directly adjacent to the empty square can slide into it; each successful move relocates the empty space and enables a new neighboring move.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2" s="28" t="str">
        <x:v>P08-S01-MEO-PRIMARY.REFERENCE.png|P08-S01-MEO-SECONDARY.REFERENCE.png|P08-S01-BO-FRONT.REFERENCE.jpg|P08-S01-BO-SIDE.REFERENCE.jpg</x:v>
      </x:c>
      <x:c r="E62" t="inlineStr">
        <x:is>
          <x:t>20260823-1738-pilot08-s01-image-queue</x:t>
        </x:is>
      </x:c>
      <x:c r="F62" t="inlineStr">
        <x:is>
          <x:t>Pilot08-S01.IMAGE-QUEUE__results__v{version}.xlsx</x:t>
        </x:is>
      </x:c>
      <x:c r="G62" t="inlineStr">
        <x:is>
          <x:t>Pilot08-S01.IMAGE-QUEUE__results__v01.xlsx</x:t>
        </x:is>
      </x:c>
      <x:c r="H62" t="inlineStr">
        <x:is>
          <x:t>Authorized folder handle: Pilot-08 (absolute path unavailable)</x:t>
        </x:is>
      </x:c>
      <x:c r="I62" t="inlineStr">
        <x:is>
          <x:t>Authorized folder handle: Pilot-08 (absolute path unavailable)/Pilot08-S01.IMAGE-QUEUE__results__v{version}.xlsx</x:t>
        </x:is>
      </x:c>
      <x:c r="J62" t="inlineStr">
        <x:is>
          <x:t>{job_id}</x:t>
        </x:is>
      </x:c>
      <x:c r="K62" t="inlineStr">
        <x:is>
          <x:t>uniquify</x:t>
        </x:is>
      </x:c>
      <x:c r="L62" t="inlineStr">
        <x:is>
          <x:t>true</x:t>
        </x:is>
      </x:c>
      <x:c r="M62" t="inlineStr">
        <x:is>
          <x:t>true</x:t>
        </x:is>
      </x:c>
      <x:c r="N62" t="inlineStr">
        <x:is>
          <x:t>true</x:t>
        </x:is>
      </x:c>
      <x:c r="O62" t="inlineStr">
        <x:is>
          <x:t/>
        </x:is>
      </x:c>
      <x:c r="P62" t="inlineStr">
        <x:is>
          <x:t>900</x:t>
        </x:is>
      </x:c>
      <x:c r="Q62" t="inlineStr">
        <x:is>
          <x:t>2</x:t>
        </x:is>
      </x:c>
      <x:c r="R62" t="inlineStr">
        <x:is>
          <x:t>8-12</x:t>
        </x:is>
      </x:c>
      <x:c r="S62" t="inlineStr">
        <x:is>
          <x:t>5</x:t>
        </x:is>
      </x:c>
      <x:c r="T62" t="inlineStr">
        <x:is>
          <x:t>false</x:t>
        </x:is>
      </x:c>
      <x:c r="U62" t="inlineStr">
        <x:is>
          <x:t>false</x:t>
        </x:is>
      </x:c>
    </x:row>
    <x:row r="63" ht="405" customHeight="1">
      <x:c r="A63" s="25" t="n">
        <x:v>62</x:v>
      </x:c>
      <x:c r="B63" s="26" t="str">
        <x:v>P08-S01-I001-S1-10A-F02</x:v>
      </x:c>
      <x:c r="C63" s="27" t="str">
        <x:v>Create a storyboard concept still for Pilot 8 source clip I001-S1-10A, story 10A.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action for this frame: Bố tests the block directly beside the empty square. It slides smoothly into the gap, and the empty square relocates to its previous position. Meo watches the gap move rather than disappear. Bố tests a non-adjacent block; it stays blocked. Meo compares the results and traces a short route for the empty square toward the door.
Freeze the clearest instant of the main cause-and-effect action. Make Meo's observation and Bố's indispensable physical action simultaneously readable.
Camera: adapt this approved moving-shot direction into one readable still composition: overhead three-quarter shot of a sliding-block wall at the edge of the Tiny World. No cuts.
Visible physics/mechanism that must read correctly: only a block directly adjacent to the empty square can slide into it; each successful move relocates the empty space and enables a new neighboring move.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3" s="28" t="str">
        <x:v>P08-S01-MEO-PRIMARY.REFERENCE.png|P08-S01-MEO-SECONDARY.REFERENCE.png|P08-S01-BO-FRONT.REFERENCE.jpg|P08-S01-BO-SIDE.REFERENCE.jpg</x:v>
      </x:c>
      <x:c r="E63" t="inlineStr">
        <x:is>
          <x:t>20260823-1738-pilot08-s01-image-queue</x:t>
        </x:is>
      </x:c>
      <x:c r="F63" t="inlineStr">
        <x:is>
          <x:t>Pilot08-S01.IMAGE-QUEUE__results__v{version}.xlsx</x:t>
        </x:is>
      </x:c>
      <x:c r="G63" t="inlineStr">
        <x:is>
          <x:t>Pilot08-S01.IMAGE-QUEUE__results__v01.xlsx</x:t>
        </x:is>
      </x:c>
      <x:c r="H63" t="inlineStr">
        <x:is>
          <x:t>Authorized folder handle: Pilot-08 (absolute path unavailable)</x:t>
        </x:is>
      </x:c>
      <x:c r="I63" t="inlineStr">
        <x:is>
          <x:t>Authorized folder handle: Pilot-08 (absolute path unavailable)/Pilot08-S01.IMAGE-QUEUE__results__v{version}.xlsx</x:t>
        </x:is>
      </x:c>
      <x:c r="J63" t="inlineStr">
        <x:is>
          <x:t>{job_id}</x:t>
        </x:is>
      </x:c>
      <x:c r="K63" t="inlineStr">
        <x:is>
          <x:t>uniquify</x:t>
        </x:is>
      </x:c>
      <x:c r="L63" t="inlineStr">
        <x:is>
          <x:t>true</x:t>
        </x:is>
      </x:c>
      <x:c r="M63" t="inlineStr">
        <x:is>
          <x:t>true</x:t>
        </x:is>
      </x:c>
      <x:c r="N63" t="inlineStr">
        <x:is>
          <x:t>true</x:t>
        </x:is>
      </x:c>
      <x:c r="O63" t="inlineStr">
        <x:is>
          <x:t/>
        </x:is>
      </x:c>
      <x:c r="P63" t="inlineStr">
        <x:is>
          <x:t>900</x:t>
        </x:is>
      </x:c>
      <x:c r="Q63" t="inlineStr">
        <x:is>
          <x:t>2</x:t>
        </x:is>
      </x:c>
      <x:c r="R63" t="inlineStr">
        <x:is>
          <x:t>8-12</x:t>
        </x:is>
      </x:c>
      <x:c r="S63" t="inlineStr">
        <x:is>
          <x:t>5</x:t>
        </x:is>
      </x:c>
      <x:c r="T63" t="inlineStr">
        <x:is>
          <x:t>false</x:t>
        </x:is>
      </x:c>
      <x:c r="U63" t="inlineStr">
        <x:is>
          <x:t>false</x:t>
        </x:is>
      </x:c>
    </x:row>
    <x:row r="64" ht="405" customHeight="1">
      <x:c r="A64" s="25" t="n">
        <x:v>63</x:v>
      </x:c>
      <x:c r="B64" s="26" t="str">
        <x:v>P08-S01-I001-S1-10A-F03</x:v>
      </x:c>
      <x:c r="C64" s="27" t="str">
        <x:v>Create a storyboard concept still for Pilot 8 source clip I001-S1-10A, story 10A.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action for this frame: Meo points from the current empty square to the next adjacent block. Bố holds all blocks still. the door remains mostly covered, but the empty square is now one step closer to center. End unresolved.
Preserve the visibly unresolved Part A end state; do not solve the problem early.
Camera: adapt this approved moving-shot direction into one readable still composition: overhead three-quarter shot of a sliding-block wall at the edge of the Tiny World. No cuts.
Visible physics/mechanism that must read correctly: only a block directly adjacent to the empty square can slide into it; each successful move relocates the empty space and enables a new neighboring move.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4" s="28" t="str">
        <x:v>P08-S01-MEO-PRIMARY.REFERENCE.png|P08-S01-MEO-SECONDARY.REFERENCE.png|P08-S01-BO-FRONT.REFERENCE.jpg|P08-S01-BO-SIDE.REFERENCE.jpg</x:v>
      </x:c>
      <x:c r="E64" t="inlineStr">
        <x:is>
          <x:t>20260823-1738-pilot08-s01-image-queue</x:t>
        </x:is>
      </x:c>
      <x:c r="F64" t="inlineStr">
        <x:is>
          <x:t>Pilot08-S01.IMAGE-QUEUE__results__v{version}.xlsx</x:t>
        </x:is>
      </x:c>
      <x:c r="G64" t="inlineStr">
        <x:is>
          <x:t>Pilot08-S01.IMAGE-QUEUE__results__v01.xlsx</x:t>
        </x:is>
      </x:c>
      <x:c r="H64" t="inlineStr">
        <x:is>
          <x:t>Authorized folder handle: Pilot-08 (absolute path unavailable)</x:t>
        </x:is>
      </x:c>
      <x:c r="I64" t="inlineStr">
        <x:is>
          <x:t>Authorized folder handle: Pilot-08 (absolute path unavailable)/Pilot08-S01.IMAGE-QUEUE__results__v{version}.xlsx</x:t>
        </x:is>
      </x:c>
      <x:c r="J64" t="inlineStr">
        <x:is>
          <x:t>{job_id}</x:t>
        </x:is>
      </x:c>
      <x:c r="K64" t="inlineStr">
        <x:is>
          <x:t>uniquify</x:t>
        </x:is>
      </x:c>
      <x:c r="L64" t="inlineStr">
        <x:is>
          <x:t>true</x:t>
        </x:is>
      </x:c>
      <x:c r="M64" t="inlineStr">
        <x:is>
          <x:t>true</x:t>
        </x:is>
      </x:c>
      <x:c r="N64" t="inlineStr">
        <x:is>
          <x:t>true</x:t>
        </x:is>
      </x:c>
      <x:c r="O64" t="inlineStr">
        <x:is>
          <x:t/>
        </x:is>
      </x:c>
      <x:c r="P64" t="inlineStr">
        <x:is>
          <x:t>900</x:t>
        </x:is>
      </x:c>
      <x:c r="Q64" t="inlineStr">
        <x:is>
          <x:t>2</x:t>
        </x:is>
      </x:c>
      <x:c r="R64" t="inlineStr">
        <x:is>
          <x:t>8-12</x:t>
        </x:is>
      </x:c>
      <x:c r="S64" t="inlineStr">
        <x:is>
          <x:t>5</x:t>
        </x:is>
      </x:c>
      <x:c r="T64" t="inlineStr">
        <x:is>
          <x:t>false</x:t>
        </x:is>
      </x:c>
      <x:c r="U64" t="inlineStr">
        <x:is>
          <x:t>false</x:t>
        </x:is>
      </x:c>
    </x:row>
    <x:row r="65" ht="405" customHeight="1">
      <x:c r="A65" s="25" t="n">
        <x:v>64</x:v>
      </x:c>
      <x:c r="B65" s="26" t="str">
        <x:v>P08-S01-I001-S1-10B-F01</x:v>
      </x:c>
      <x:c r="C65" s="27" t="str">
        <x:v>Create a storyboard concept still for Pilot 8 source clip I001-S1-10B, story 10B.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empty square is one step nearer center with the gap visible. The Tiny Door is still mostly covered, with warm playroom light visible through a gap. Bố holds padded block handles. Meo stands outside the rails.
Exact frozen action for this frame: Meo points from the current empty square to the adjacent block on her traced route. Bố grips its padded handle.
Show the opening physical state and every prop needed to understand the coming cause-and-effect.
Camera: adapt this approved moving-shot direction into one readable still composition: one continuity shot from the same overhead angle, keeping the sliding-block grid, current empty square and partly hidden Tiny Door visible. No cuts.
Visible physics/mechanism that must read correctly: each block can move only into the adjacent empty square; sequencing those moves transports the empty space through the grid until the doorway is uncovered.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5" s="28" t="str">
        <x:v>P08-S01-MEO-PRIMARY.REFERENCE.png|P08-S01-MEO-SECONDARY.REFERENCE.png|P08-S01-BO-FRONT.REFERENCE.jpg|P08-S01-BO-SIDE.REFERENCE.jpg</x:v>
      </x:c>
      <x:c r="E65" t="inlineStr">
        <x:is>
          <x:t>20260823-1738-pilot08-s01-image-queue</x:t>
        </x:is>
      </x:c>
      <x:c r="F65" t="inlineStr">
        <x:is>
          <x:t>Pilot08-S01.IMAGE-QUEUE__results__v{version}.xlsx</x:t>
        </x:is>
      </x:c>
      <x:c r="G65" t="inlineStr">
        <x:is>
          <x:t>Pilot08-S01.IMAGE-QUEUE__results__v01.xlsx</x:t>
        </x:is>
      </x:c>
      <x:c r="H65" t="inlineStr">
        <x:is>
          <x:t>Authorized folder handle: Pilot-08 (absolute path unavailable)</x:t>
        </x:is>
      </x:c>
      <x:c r="I65" t="inlineStr">
        <x:is>
          <x:t>Authorized folder handle: Pilot-08 (absolute path unavailable)/Pilot08-S01.IMAGE-QUEUE__results__v{version}.xlsx</x:t>
        </x:is>
      </x:c>
      <x:c r="J65" t="inlineStr">
        <x:is>
          <x:t>{job_id}</x:t>
        </x:is>
      </x:c>
      <x:c r="K65" t="inlineStr">
        <x:is>
          <x:t>uniquify</x:t>
        </x:is>
      </x:c>
      <x:c r="L65" t="inlineStr">
        <x:is>
          <x:t>true</x:t>
        </x:is>
      </x:c>
      <x:c r="M65" t="inlineStr">
        <x:is>
          <x:t>true</x:t>
        </x:is>
      </x:c>
      <x:c r="N65" t="inlineStr">
        <x:is>
          <x:t>true</x:t>
        </x:is>
      </x:c>
      <x:c r="O65" t="inlineStr">
        <x:is>
          <x:t/>
        </x:is>
      </x:c>
      <x:c r="P65" t="inlineStr">
        <x:is>
          <x:t>900</x:t>
        </x:is>
      </x:c>
      <x:c r="Q65" t="inlineStr">
        <x:is>
          <x:t>2</x:t>
        </x:is>
      </x:c>
      <x:c r="R65" t="inlineStr">
        <x:is>
          <x:t>8-12</x:t>
        </x:is>
      </x:c>
      <x:c r="S65" t="inlineStr">
        <x:is>
          <x:t>5</x:t>
        </x:is>
      </x:c>
      <x:c r="T65" t="inlineStr">
        <x:is>
          <x:t>false</x:t>
        </x:is>
      </x:c>
      <x:c r="U65" t="inlineStr">
        <x:is>
          <x:t>false</x:t>
        </x:is>
      </x:c>
    </x:row>
    <x:row r="66" ht="405" customHeight="1">
      <x:c r="A66" s="25" t="n">
        <x:v>65</x:v>
      </x:c>
      <x:c r="B66" s="26" t="str">
        <x:v>P08-S01-I001-S1-10B-F02</x:v>
      </x:c>
      <x:c r="C66" s="27" t="str">
        <x:v>Create a storyboard concept still for Pilot 8 source clip I001-S1-10B, story 10B.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empty square is one step nearer center with the gap visible. The Tiny Door is still mostly covered, with warm playroom light visible through a gap. Bố holds padded block handles. Meo stands outside the rails.
Exact frozen action for this frame: Meo’s signals guide Bố as he slides one adjacent block into the gap, then a second, then a third. The gap travels toward the door while Meo tracks it.
Freeze the clearest instant of the main cause-and-effect action. Make Meo's observation and Bố's indispensable physical action simultaneously readable.
Camera: adapt this approved moving-shot direction into one readable still composition: one continuity shot from the same overhead angle, keeping the sliding-block grid, current empty square and partly hidden Tiny Door visible. No cuts.
Visible physics/mechanism that must read correctly: each block can move only into the adjacent empty square; sequencing those moves transports the empty space through the grid until the doorway is uncovered.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6" s="28" t="str">
        <x:v>P08-S01-MEO-PRIMARY.REFERENCE.png|P08-S01-MEO-SECONDARY.REFERENCE.png|P08-S01-BO-FRONT.REFERENCE.jpg|P08-S01-BO-SIDE.REFERENCE.jpg</x:v>
      </x:c>
      <x:c r="E66" t="inlineStr">
        <x:is>
          <x:t>20260823-1738-pilot08-s01-image-queue</x:t>
        </x:is>
      </x:c>
      <x:c r="F66" t="inlineStr">
        <x:is>
          <x:t>Pilot08-S01.IMAGE-QUEUE__results__v{version}.xlsx</x:t>
        </x:is>
      </x:c>
      <x:c r="G66" t="inlineStr">
        <x:is>
          <x:t>Pilot08-S01.IMAGE-QUEUE__results__v01.xlsx</x:t>
        </x:is>
      </x:c>
      <x:c r="H66" t="inlineStr">
        <x:is>
          <x:t>Authorized folder handle: Pilot-08 (absolute path unavailable)</x:t>
        </x:is>
      </x:c>
      <x:c r="I66" t="inlineStr">
        <x:is>
          <x:t>Authorized folder handle: Pilot-08 (absolute path unavailable)/Pilot08-S01.IMAGE-QUEUE__results__v{version}.xlsx</x:t>
        </x:is>
      </x:c>
      <x:c r="J66" t="inlineStr">
        <x:is>
          <x:t>{job_id}</x:t>
        </x:is>
      </x:c>
      <x:c r="K66" t="inlineStr">
        <x:is>
          <x:t>uniquify</x:t>
        </x:is>
      </x:c>
      <x:c r="L66" t="inlineStr">
        <x:is>
          <x:t>true</x:t>
        </x:is>
      </x:c>
      <x:c r="M66" t="inlineStr">
        <x:is>
          <x:t>true</x:t>
        </x:is>
      </x:c>
      <x:c r="N66" t="inlineStr">
        <x:is>
          <x:t>true</x:t>
        </x:is>
      </x:c>
      <x:c r="O66" t="inlineStr">
        <x:is>
          <x:t/>
        </x:is>
      </x:c>
      <x:c r="P66" t="inlineStr">
        <x:is>
          <x:t>900</x:t>
        </x:is>
      </x:c>
      <x:c r="Q66" t="inlineStr">
        <x:is>
          <x:t>2</x:t>
        </x:is>
      </x:c>
      <x:c r="R66" t="inlineStr">
        <x:is>
          <x:t>8-12</x:t>
        </x:is>
      </x:c>
      <x:c r="S66" t="inlineStr">
        <x:is>
          <x:t>5</x:t>
        </x:is>
      </x:c>
      <x:c r="T66" t="inlineStr">
        <x:is>
          <x:t>false</x:t>
        </x:is>
      </x:c>
      <x:c r="U66" t="inlineStr">
        <x:is>
          <x:t>false</x:t>
        </x:is>
      </x:c>
    </x:row>
    <x:row r="67" ht="405" customHeight="1">
      <x:c r="A67" s="29" t="n">
        <x:v>66</x:v>
      </x:c>
      <x:c r="B67" s="30" t="str">
        <x:v>P08-S01-I001-S1-10B-F03</x:v>
      </x:c>
      <x:c r="C67" s="31" t="str">
        <x:v>Create a storyboard concept still for Pilot 8 source clip I001-S1-10B, story 10B.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empty square is one step nearer center with the gap visible. The Tiny Door is still mostly covered, with warm playroom light visible through a gap. Bố holds padded block handles. Meo stands outside the rails.
Exact frozen action for this frame: Meo signals the final move. Bố slides the last lightweight block sideways into the empty square, uncovering the Tiny Door. It is already open, showing the playroom carpet beyond. warm light fills the frame. Meo says in Vietnamese, with a joyful five-year-old voice: “Bố ơi, đường về nhà mở rồi!” Keep the exact wording; do not translate it.
Show the resolved Part B end state and warm father-daughter emotional closure without depicting spoken words as text.
Camera: adapt this approved moving-shot direction into one readable still composition: one continuity shot from the same overhead angle, keeping the sliding-block grid, current empty square and partly hidden Tiny Door visible. No cuts.
Visible physics/mechanism that must read correctly: each block can move only into the adjacent empty square; sequencing those moves transports the empty space through the grid until the doorway is uncovered.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7" s="32" t="str">
        <x:v>P08-S01-MEO-PRIMARY.REFERENCE.png|P08-S01-MEO-SECONDARY.REFERENCE.png|P08-S01-BO-FRONT.REFERENCE.jpg|P08-S01-BO-SIDE.REFERENCE.jpg</x:v>
      </x:c>
      <x:c r="E67" t="inlineStr">
        <x:is>
          <x:t>20260823-1738-pilot08-s01-image-queue</x:t>
        </x:is>
      </x:c>
      <x:c r="F67" t="inlineStr">
        <x:is>
          <x:t>Pilot08-S01.IMAGE-QUEUE__results__v{version}.xlsx</x:t>
        </x:is>
      </x:c>
      <x:c r="G67" t="inlineStr">
        <x:is>
          <x:t>Pilot08-S01.IMAGE-QUEUE__results__v01.xlsx</x:t>
        </x:is>
      </x:c>
      <x:c r="H67" t="inlineStr">
        <x:is>
          <x:t>Authorized folder handle: Pilot-08 (absolute path unavailable)</x:t>
        </x:is>
      </x:c>
      <x:c r="I67" t="inlineStr">
        <x:is>
          <x:t>Authorized folder handle: Pilot-08 (absolute path unavailable)/Pilot08-S01.IMAGE-QUEUE__results__v{version}.xlsx</x:t>
        </x:is>
      </x:c>
      <x:c r="J67" t="inlineStr">
        <x:is>
          <x:t>{job_id}</x:t>
        </x:is>
      </x:c>
      <x:c r="K67" t="inlineStr">
        <x:is>
          <x:t>uniquify</x:t>
        </x:is>
      </x:c>
      <x:c r="L67" t="inlineStr">
        <x:is>
          <x:t>true</x:t>
        </x:is>
      </x:c>
      <x:c r="M67" t="inlineStr">
        <x:is>
          <x:t>true</x:t>
        </x:is>
      </x:c>
      <x:c r="N67" t="inlineStr">
        <x:is>
          <x:t>true</x:t>
        </x:is>
      </x:c>
      <x:c r="O67" t="inlineStr">
        <x:is>
          <x:t/>
        </x:is>
      </x:c>
      <x:c r="P67" t="inlineStr">
        <x:is>
          <x:t>900</x:t>
        </x:is>
      </x:c>
      <x:c r="Q67" t="inlineStr">
        <x:is>
          <x:t>2</x:t>
        </x:is>
      </x:c>
      <x:c r="R67" t="inlineStr">
        <x:is>
          <x:t>8-12</x:t>
        </x:is>
      </x:c>
      <x:c r="S67" t="inlineStr">
        <x:is>
          <x:t>5</x:t>
        </x:is>
      </x:c>
      <x:c r="T67" t="inlineStr">
        <x:is>
          <x:t>false</x:t>
        </x:is>
      </x:c>
      <x:c r="U67" t="inlineStr">
        <x:is>
          <x:t>false</x:t>
        </x:is>
      </x:c>
    </x:row>
  </x:sheetData>
  <x:pageMargins left="0.7" right="0.7" top="0.75" bottom="0.75" header="0.3" footer="0.3"/>
  <x:legacyDrawing xmlns:r="http://schemas.openxmlformats.org/officeDocument/2006/relationships" r:id="R301e8dea9cbc4c7e"/>
  <x:tableParts count="1">
    <x:tablePart xmlns:r="http://schemas.openxmlformats.org/officeDocument/2006/relationships" r:id="Rddce4a53f965486f"/>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2" hidden="0" customWidth="1"/>
  </x:cols>
  <x:sheetData>
    <x:row r="1">
      <x:c r="A1" s="41" t="str">
        <x:v>key</x:v>
      </x:c>
      <x:c r="B1" s="42" t="str">
        <x:v>value</x:v>
      </x:c>
    </x:row>
    <x:row r="2">
      <x:c r="A2" s="43" t="str">
        <x:v>timeout_sec</x:v>
      </x:c>
      <x:c r="B2" s="44" t="str">
        <x:v>900</x:v>
      </x:c>
    </x:row>
    <x:row r="3">
      <x:c r="A3" s="43" t="str">
        <x:v>max_retries</x:v>
      </x:c>
      <x:c r="B3" s="44" t="str">
        <x:v>2</x:v>
      </x:c>
    </x:row>
    <x:row r="4">
      <x:c r="A4" s="43" t="str">
        <x:v>delay_min_sec</x:v>
      </x:c>
      <x:c r="B4" s="44" t="str">
        <x:v>18</x:v>
      </x:c>
    </x:row>
    <x:row r="5">
      <x:c r="A5" s="43" t="str">
        <x:v>delay_max_sec</x:v>
      </x:c>
      <x:c r="B5" s="44" t="str">
        <x:v>32</x:v>
      </x:c>
    </x:row>
    <x:row r="6">
      <x:c r="A6" s="43" t="str">
        <x:v>safety_cooldown_sec</x:v>
      </x:c>
      <x:c r="B6" s="44" t="str">
        <x:v>8-12</x:v>
      </x:c>
    </x:row>
    <x:row r="7">
      <x:c r="A7" s="43" t="str">
        <x:v>max_input_images</x:v>
      </x:c>
      <x:c r="B7" s="44" t="str">
        <x:v>5</x:v>
      </x:c>
    </x:row>
    <x:row r="8">
      <x:c r="A8" s="43" t="str">
        <x:v>continue_on_error</x:v>
      </x:c>
      <x:c r="B8" s="44" t="str">
        <x:v>false</x:v>
      </x:c>
    </x:row>
    <x:row r="9">
      <x:c r="A9" s="43" t="str">
        <x:v>rerun_done</x:v>
      </x:c>
      <x:c r="B9" s="44" t="str">
        <x:v>false</x:v>
      </x:c>
    </x:row>
    <x:row r="10">
      <x:c r="A10" s="43" t="str">
        <x:v>output_destination_mode</x:v>
      </x:c>
      <x:c r="B10" s="44" t="str">
        <x:v>downloads</x:v>
      </x:c>
    </x:row>
    <x:row r="11">
      <x:c r="A11" s="43" t="str">
        <x:v>output_downloads_subfolder</x:v>
      </x:c>
      <x:c r="B11" s="44" t="str">
        <x:v>Duc Auto ChatGPT/Pilot-08/S1-01</x:v>
      </x:c>
    </x:row>
    <x:row r="12">
      <x:c r="A12" s="43" t="str">
        <x:v>image_filename_pattern</x:v>
      </x:c>
      <x:c r="B12" s="44" t="str">
        <x:v>{job_id}</x:v>
      </x:c>
    </x:row>
    <x:row r="13">
      <x:c r="A13" s="43" t="str">
        <x:v>collision_policy</x:v>
      </x:c>
      <x:c r="B13" s="44" t="str">
        <x:v>uniquify</x:v>
      </x:c>
    </x:row>
    <x:row r="14">
      <x:c r="A14" s="43" t="str">
        <x:v>save_images</x:v>
      </x:c>
      <x:c r="B14" s="44" t="str">
        <x:v>true</x:v>
      </x:c>
    </x:row>
    <x:row r="15">
      <x:c r="A15" s="43" t="str">
        <x:v>save_result_xlsx</x:v>
      </x:c>
      <x:c r="B15" s="44" t="str">
        <x:v>true</x:v>
      </x:c>
    </x:row>
    <x:row r="16">
      <x:c r="A16" s="43" t="str">
        <x:v>save_audit_jsonl</x:v>
      </x:c>
      <x:c r="B16" s="44" t="str">
        <x:v>true</x:v>
      </x:c>
    </x:row>
    <x:row r="17">
      <x:c r="A17" s="43" t="str">
        <x:v>result_filename_pattern</x:v>
      </x:c>
      <x:c r="B17" s="44" t="inlineStr">
        <x:is>
          <x:t>Pilot08-S01.IMAGE-QUEUE__results__v{version}.xlsx</x:t>
        </x:is>
      </x:c>
    </x:row>
    <x:row r="18">
      <x:c r="A18" s="45" t="str">
        <x:v>audit_filename</x:v>
      </x:c>
      <x:c r="B18" s="46" t="str">
        <x:v>Pilot08-S01.IMAGE-QUEUE__audit.jsonl</x:v>
      </x:c>
    </x:row>
    <x:row r="19">
      <x:c r="A19" t="inlineStr">
        <x:is>
          <x:t>run_id</x:t>
        </x:is>
      </x:c>
      <x:c r="B19" t="inlineStr">
        <x:is>
          <x:t>20260823-1738-pilot08-s01-image-queue</x:t>
        </x:is>
      </x:c>
    </x:row>
    <x:row r="20">
      <x:c r="A20" t="inlineStr">
        <x:is>
          <x:t>effective_source_workbook</x:t>
        </x:is>
      </x:c>
      <x:c r="B20" t="inlineStr">
        <x:is>
          <x:t>Pilot08-S01.IMAGE-QUEUE__results__v01.xlsx</x:t>
        </x:is>
      </x:c>
    </x:row>
    <x:row r="21">
      <x:c r="A21" t="inlineStr">
        <x:is>
          <x:t>effective_image_output</x:t>
        </x:is>
      </x:c>
      <x:c r="B21" t="inlineStr">
        <x:is>
          <x:t>Authorized folder handle: Pilot-08 (absolute path unavailable)</x:t>
        </x:is>
      </x:c>
    </x:row>
    <x:row r="22">
      <x:c r="A22" t="inlineStr">
        <x:is>
          <x:t>effective_result_xlsx</x:t>
        </x:is>
      </x:c>
      <x:c r="B22" t="inlineStr">
        <x:is>
          <x:t>Authorized folder handle: Pilot-08 (absolute path unavailable)/Pilot08-S01.IMAGE-QUEUE__results__v02.xlsx</x:t>
        </x:is>
      </x:c>
    </x:row>
    <x:row r="23">
      <x:c r="A23" t="inlineStr">
        <x:is>
          <x:t>effective_image_naming</x:t>
        </x:is>
      </x:c>
      <x:c r="B23" t="inlineStr">
        <x:is>
          <x:t>{job_id}</x:t>
        </x:is>
      </x:c>
    </x:row>
    <x:row r="24">
      <x:c r="A24" t="inlineStr">
        <x:is>
          <x:t>effective_collision_policy</x:t>
        </x:is>
      </x:c>
      <x:c r="B24" t="inlineStr">
        <x:is>
          <x:t>uniquify</x:t>
        </x:is>
      </x:c>
    </x:row>
    <x:row r="25">
      <x:c r="A25" t="inlineStr">
        <x:is>
          <x:t>effective_save_images</x:t>
        </x:is>
      </x:c>
      <x:c r="B25" t="inlineStr">
        <x:is>
          <x:t>true</x:t>
        </x:is>
      </x:c>
    </x:row>
    <x:row r="26">
      <x:c r="A26" t="inlineStr">
        <x:is>
          <x:t>effective_save_result_xlsx</x:t>
        </x:is>
      </x:c>
      <x:c r="B26" t="inlineStr">
        <x:is>
          <x:t>true</x:t>
        </x:is>
      </x:c>
    </x:row>
    <x:row r="27">
      <x:c r="A27" t="inlineStr">
        <x:is>
          <x:t>effective_save_audit_jsonl</x:t>
        </x:is>
      </x:c>
      <x:c r="B27" t="inlineStr">
        <x:is>
          <x:t>true</x:t>
        </x:is>
      </x:c>
    </x:row>
    <x:row r="28">
      <x:c r="A28" t="inlineStr">
        <x:is>
          <x:t>effective_audit_log</x:t>
        </x:is>
      </x:c>
      <x:c r="B28" t="inlineStr">
        <x:is>
          <x:t/>
        </x:is>
      </x:c>
    </x:row>
    <x:row r="29">
      <x:c r="A29" t="inlineStr">
        <x:is>
          <x:t>effective_timeout_sec</x:t>
        </x:is>
      </x:c>
      <x:c r="B29" t="inlineStr">
        <x:is>
          <x:t>900</x:t>
        </x:is>
      </x:c>
    </x:row>
    <x:row r="30">
      <x:c r="A30" t="inlineStr">
        <x:is>
          <x:t>effective_max_retries</x:t>
        </x:is>
      </x:c>
      <x:c r="B30" t="inlineStr">
        <x:is>
          <x:t>2</x:t>
        </x:is>
      </x:c>
    </x:row>
    <x:row r="31">
      <x:c r="A31" t="inlineStr">
        <x:is>
          <x:t>effective_safety_cooldown_sec</x:t>
        </x:is>
      </x:c>
      <x:c r="B31" t="inlineStr">
        <x:is>
          <x:t>8-12</x:t>
        </x:is>
      </x:c>
    </x:row>
    <x:row r="32">
      <x:c r="A32" t="inlineStr">
        <x:is>
          <x:t>effective_max_input_images</x:t>
        </x:is>
      </x:c>
      <x:c r="B32" t="inlineStr">
        <x:is>
          <x:t>5</x:t>
        </x:is>
      </x:c>
    </x:row>
    <x:row r="33">
      <x:c r="A33" t="inlineStr">
        <x:is>
          <x:t>effective_continue_on_error</x:t>
        </x:is>
      </x:c>
      <x:c r="B33" t="inlineStr">
        <x:is>
          <x:t>false</x:t>
        </x:is>
      </x:c>
    </x:row>
    <x:row r="34">
      <x:c r="A34" t="inlineStr">
        <x:is>
          <x:t>effective_rerun_done</x:t>
        </x:is>
      </x:c>
      <x:c r="B34" t="inlineStr">
        <x:is>
          <x:t>false</x:t>
        </x:is>
      </x:c>
    </x:row>
    <x:row r="35">
      <x:c r="A35" t="inlineStr">
        <x:is>
          <x:t>checkpoint_version</x:t>
        </x:is>
      </x:c>
      <x:c r="B35" t="inlineStr">
        <x:is>
          <x:t>2</x:t>
        </x:is>
      </x:c>
    </x:row>
    <x:row r="36">
      <x:c r="A36" t="inlineStr">
        <x:is>
          <x:t>checkpoint_filename</x:t>
        </x:is>
      </x:c>
      <x:c r="B36" t="inlineStr">
        <x:is>
          <x:t>Pilot08-S01.IMAGE-QUEUE__results__v02.xlsx</x:t>
        </x:is>
      </x:c>
    </x:row>
    <x:row r="37">
      <x:c r="A37" t="inlineStr">
        <x:is>
          <x:t>checkpoint_created_at</x:t>
        </x:is>
      </x:c>
      <x:c r="B37" t="inlineStr">
        <x:is>
          <x:t>2026-08-23T18:23:02.097Z</x:t>
        </x:is>
      </x:c>
    </x:row>
    <x:row r="38">
      <x:c r="A38" t="inlineStr">
        <x:is>
          <x:t>previous_checkpoint_filename</x:t>
        </x:is>
      </x:c>
      <x:c r="B38" t="inlineStr">
        <x:is>
          <x:t>Pilot08-S01.IMAGE-QUEUE__results__v01.xlsx</x:t>
        </x:is>
      </x:c>
    </x:row>
  </x:sheetData>
  <x:pageMargins left="0.7" right="0.7" top="0.75" bottom="0.75" header="0.3" footer="0.3"/>
  <x:legacyDrawing xmlns:r="http://schemas.openxmlformats.org/officeDocument/2006/relationships" r:id="R427d77f1a9374767"/>
  <x:tableParts count="1">
    <x:tablePart xmlns:r="http://schemas.openxmlformats.org/officeDocument/2006/relationships" r:id="R88f7b13485724c6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0" hidden="0" customWidth="1"/>
  </x:cols>
  <x:sheetData>
    <x:row r="1" ht="32" customHeight="1">
      <x:c r="A1" s="47" t="str">
        <x:v>Pilot 8 · S1_01 Tiny World · ChatGPT Visual Preproduction Queue</x:v>
      </x:c>
      <x:c r="B1" s="47"/>
    </x:row>
    <x:row r="3" ht="45" customHeight="1">
      <x:c r="A3" s="52" t="str">
        <x:v>Boundary</x:v>
      </x:c>
      <x:c r="B3" s="53" t="str">
        <x:v>PREPARE_INPUT_ONLY — this package does not run Extension, ChatGPT image generation, or Google Flow.</x:v>
      </x:c>
    </x:row>
    <x:row r="4" ht="45" customHeight="1">
      <x:c r="A4" s="54" t="str">
        <x:v>Source</x:v>
      </x:c>
      <x:c r="B4" s="55" t="str">
        <x:v>Growing_with_Meo_V2_260817 · S1_01 Tiny World · sheetId 26081721</x:v>
      </x:c>
    </x:row>
    <x:row r="5" ht="45" customHeight="1">
      <x:c r="A5" s="54" t="str">
        <x:v>Source URL</x:v>
      </x:c>
      <x:c r="B5" s="55" t="str">
        <x:v>https://docs.google.com/spreadsheets/d/12YwXGi3zeTt-tyVJtIhtEQQRoVD1vKoGvLOBBlmYOS0/edit</x:v>
      </x:c>
    </x:row>
    <x:row r="6" ht="45" customHeight="1">
      <x:c r="A6" s="54" t="str">
        <x:v>Queue</x:v>
      </x:c>
      <x:c r="B6" s="55" t="str">
        <x:v>66 jobs = 6 character concepts + 60 storyboard frames.</x:v>
      </x:c>
    </x:row>
    <x:row r="7" ht="45" customHeight="1">
      <x:c r="A7" s="54" t="str">
        <x:v>Storyboard mapping</x:v>
      </x:c>
      <x:c r="B7" s="55" t="str">
        <x:v>Each of 20 video prompts becomes F01 opening (0-2s), F02 causal action (2-7s), and F03 closing state (7-10s).</x:v>
      </x:c>
    </x:row>
    <x:row r="8" ht="45" customHeight="1">
      <x:c r="A8" s="54" t="str">
        <x:v>Load step 1</x:v>
      </x:c>
      <x:c r="B8" s="55" t="str">
        <x:v>Select this XLSX in Duc Auto ChatGPT.</x:v>
      </x:c>
    </x:row>
    <x:row r="9" ht="45" customHeight="1">
      <x:c r="A9" s="54" t="str">
        <x:v>Load step 2</x:v>
      </x:c>
      <x:c r="B9" s="55" t="str">
        <x:v>Select all four files from the adjacent references folder. Exact filenames already match jobs.reference_images.</x:v>
      </x:c>
    </x:row>
    <x:row r="10" ht="45" customHeight="1">
      <x:c r="A10" s="54" t="str">
        <x:v>Load step 3</x:v>
      </x:c>
      <x:c r="B10" s="55" t="str">
        <x:v>Run Check Plan. Confirm 66 jobs, 4 selected reference files, max 4 references/job, and the Downloads output path.</x:v>
      </x:c>
    </x:row>
    <x:row r="11" ht="45" customHeight="1">
      <x:c r="A11" s="54" t="str">
        <x:v>Load step 4</x:v>
      </x:c>
      <x:c r="B11" s="55" t="str">
        <x:v>Review the new Tiny World maker-explorer wardrobe below. If accepted, Run sequentially. Do not reorder the queue.</x:v>
      </x:c>
    </x:row>
    <x:row r="12" ht="90" customHeight="1">
      <x:c r="A12" s="54" t="str">
        <x:v>Reference precedence</x:v>
      </x:c>
      <x:c r="B12" s="55" t="str">
        <x:v>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x:v>
      </x:c>
    </x:row>
    <x:row r="13" ht="90" customHeight="1">
      <x:c r="A13" s="54" t="str">
        <x:v>New wardrobe directive</x:v>
      </x:c>
      <x:c r="B13" s="55" t="str">
        <x:v>Owner instruction dated 2026-08-24: redesign clothing completely from scratch to fit the story/video. Applied across all 6 character concepts and all 60 storyboard stills. Tiny World maker-explorer: coordinated, movement-friendly father-daughter clothing designed for observing and safely operating oversized soft toy mechanisms. Fitted silhouettes, flat pockets and closed fasteners; no loose straps, scarves, bags, tools or dangling accessories.</x:v>
      </x:c>
    </x:row>
    <x:row r="14" ht="45" customHeight="1">
      <x:c r="A14" s="54" t="str">
        <x:v>Safety stop</x:v>
      </x:c>
      <x:c r="B14" s="55" t="str">
        <x:v>Stop immediately for CAPTCHA, unusual-activity, security warning, ambiguous post-submit state, unresolved reference, or output persistence failure.</x:v>
      </x:c>
    </x:row>
    <x:row r="15" ht="45" customHeight="1">
      <x:c r="A15" s="54" t="str">
        <x:v>Naming</x:v>
      </x:c>
      <x:c r="B15" s="55" t="str">
        <x:v>Image stem equals job id. The runner records the real output extension and collision-resolved filename.</x:v>
      </x:c>
    </x:row>
    <x:row r="16" ht="45" customHeight="1">
      <x:c r="A16" s="56" t="str">
        <x:v>Status</x:v>
      </x:c>
      <x:c r="B16" s="57" t="str">
        <x:v>READY_FOR_OWNER_REVIEW — workbook/schema/QC prepared; no live submissions performed.</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22" hidden="0" customWidth="1"/>
    <x:col min="4" max="4" width="24" hidden="0" customWidth="1"/>
    <x:col min="5" max="5" width="12" hidden="0" customWidth="1"/>
    <x:col min="6" max="6" width="8" hidden="0" customWidth="1"/>
    <x:col min="7" max="7" width="32" hidden="0" customWidth="1"/>
    <x:col min="8" max="8" width="20" hidden="0" customWidth="1"/>
    <x:col min="9" max="9" width="14" hidden="0" customWidth="1"/>
    <x:col min="10" max="10" width="26" hidden="0" customWidth="1"/>
    <x:col min="11" max="11" width="70" hidden="0" customWidth="1"/>
    <x:col min="12" max="12" width="38" hidden="0" customWidth="1"/>
    <x:col min="13" max="13" width="12" hidden="0" customWidth="1"/>
  </x:cols>
  <x:sheetData>
    <x:row r="1">
      <x:c r="A1" s="41" t="str">
        <x:v>sequence</x:v>
      </x:c>
      <x:c r="B1" s="60" t="str">
        <x:v>job_id</x:v>
      </x:c>
      <x:c r="C1" s="60" t="str">
        <x:v>phase</x:v>
      </x:c>
      <x:c r="D1" s="60" t="str">
        <x:v>source_video_id</x:v>
      </x:c>
      <x:c r="E1" s="60" t="str">
        <x:v>story_number</x:v>
      </x:c>
      <x:c r="F1" s="60" t="str">
        <x:v>part</x:v>
      </x:c>
      <x:c r="G1" s="60" t="str">
        <x:v>title</x:v>
      </x:c>
      <x:c r="H1" s="60" t="str">
        <x:v>frame</x:v>
      </x:c>
      <x:c r="I1" s="60" t="str">
        <x:v>frame_time</x:v>
      </x:c>
      <x:c r="J1" s="60" t="str">
        <x:v>purpose</x:v>
      </x:c>
      <x:c r="K1" s="60" t="str">
        <x:v>reference_images</x:v>
      </x:c>
      <x:c r="L1" s="60" t="str">
        <x:v>expected_output_stem</x:v>
      </x:c>
      <x:c r="M1" s="42" t="str">
        <x:v>qc_status</x:v>
      </x:c>
    </x:row>
    <x:row r="2" ht="72" customHeight="1">
      <x:c r="A2" s="61" t="n">
        <x:v>1</x:v>
      </x:c>
      <x:c r="B2" s="27" t="str">
        <x:v>P08-S01-C01-MEO-FRONT</x:v>
      </x:c>
      <x:c r="C2" s="27" t="str">
        <x:v>CHARACTER_CONCEPT</x:v>
      </x:c>
      <x:c r="D2" s="27" t="str">
        <x:v>CHARACTER_LOCK</x:v>
      </x:c>
      <x:c r="E2" s="27" t="str"/>
      <x:c r="F2" s="27" t="str"/>
      <x:c r="G2" s="27" t="str">
        <x:v>Meo</x:v>
      </x:c>
      <x:c r="H2" s="27" t="str">
        <x:v>FRONT</x:v>
      </x:c>
      <x:c r="I2" s="27" t="str">
        <x:v>N/A</x:v>
      </x:c>
      <x:c r="J2" s="27" t="str">
        <x:v>Independent full-body front definition</x:v>
      </x:c>
      <x:c r="K2" s="27" t="str">
        <x:v>P08-S01-MEO-PRIMARY.REFERENCE.png|P08-S01-MEO-SECONDARY.REFERENCE.png</x:v>
      </x:c>
      <x:c r="L2" s="27" t="str">
        <x:v>P08-S01-C01-MEO-FRONT</x:v>
      </x:c>
      <x:c r="M2" s="28" t="str">
        <x:v>PASS</x:v>
      </x:c>
    </x:row>
    <x:row r="3" ht="72" customHeight="1">
      <x:c r="A3" s="61" t="n">
        <x:v>2</x:v>
      </x:c>
      <x:c r="B3" s="27" t="str">
        <x:v>P08-S01-C02-MEO-SIDE</x:v>
      </x:c>
      <x:c r="C3" s="27" t="str">
        <x:v>CHARACTER_CONCEPT</x:v>
      </x:c>
      <x:c r="D3" s="27" t="str">
        <x:v>CHARACTER_LOCK</x:v>
      </x:c>
      <x:c r="E3" s="27" t="str"/>
      <x:c r="F3" s="27" t="str"/>
      <x:c r="G3" s="27" t="str">
        <x:v>Meo</x:v>
      </x:c>
      <x:c r="H3" s="27" t="str">
        <x:v>SIDE</x:v>
      </x:c>
      <x:c r="I3" s="27" t="str">
        <x:v>N/A</x:v>
      </x:c>
      <x:c r="J3" s="27" t="str">
        <x:v>Independent full-body side definition</x:v>
      </x:c>
      <x:c r="K3" s="27" t="str">
        <x:v>P08-S01-MEO-PRIMARY.REFERENCE.png|P08-S01-MEO-SECONDARY.REFERENCE.png</x:v>
      </x:c>
      <x:c r="L3" s="27" t="str">
        <x:v>P08-S01-C02-MEO-SIDE</x:v>
      </x:c>
      <x:c r="M3" s="28" t="str">
        <x:v>PASS</x:v>
      </x:c>
    </x:row>
    <x:row r="4" ht="72" customHeight="1">
      <x:c r="A4" s="61" t="n">
        <x:v>3</x:v>
      </x:c>
      <x:c r="B4" s="27" t="str">
        <x:v>P08-S01-C03-BO-FRONT</x:v>
      </x:c>
      <x:c r="C4" s="27" t="str">
        <x:v>CHARACTER_CONCEPT</x:v>
      </x:c>
      <x:c r="D4" s="27" t="str">
        <x:v>CHARACTER_LOCK</x:v>
      </x:c>
      <x:c r="E4" s="27" t="str"/>
      <x:c r="F4" s="27" t="str"/>
      <x:c r="G4" s="27" t="str">
        <x:v>Bố</x:v>
      </x:c>
      <x:c r="H4" s="27" t="str">
        <x:v>FRONT</x:v>
      </x:c>
      <x:c r="I4" s="27" t="str">
        <x:v>N/A</x:v>
      </x:c>
      <x:c r="J4" s="27" t="str">
        <x:v>Independent full-body front definition</x:v>
      </x:c>
      <x:c r="K4" s="27" t="str">
        <x:v>P08-S01-BO-FRONT.REFERENCE.jpg|P08-S01-BO-SIDE.REFERENCE.jpg</x:v>
      </x:c>
      <x:c r="L4" s="27" t="str">
        <x:v>P08-S01-C03-BO-FRONT</x:v>
      </x:c>
      <x:c r="M4" s="28" t="str">
        <x:v>PASS</x:v>
      </x:c>
    </x:row>
    <x:row r="5" ht="72" customHeight="1">
      <x:c r="A5" s="61" t="n">
        <x:v>4</x:v>
      </x:c>
      <x:c r="B5" s="27" t="str">
        <x:v>P08-S01-C04-BO-SIDE</x:v>
      </x:c>
      <x:c r="C5" s="27" t="str">
        <x:v>CHARACTER_CONCEPT</x:v>
      </x:c>
      <x:c r="D5" s="27" t="str">
        <x:v>CHARACTER_LOCK</x:v>
      </x:c>
      <x:c r="E5" s="27" t="str"/>
      <x:c r="F5" s="27" t="str"/>
      <x:c r="G5" s="27" t="str">
        <x:v>Bố</x:v>
      </x:c>
      <x:c r="H5" s="27" t="str">
        <x:v>SIDE</x:v>
      </x:c>
      <x:c r="I5" s="27" t="str">
        <x:v>N/A</x:v>
      </x:c>
      <x:c r="J5" s="27" t="str">
        <x:v>Independent full-body side definition</x:v>
      </x:c>
      <x:c r="K5" s="27" t="str">
        <x:v>P08-S01-BO-FRONT.REFERENCE.jpg|P08-S01-BO-SIDE.REFERENCE.jpg</x:v>
      </x:c>
      <x:c r="L5" s="27" t="str">
        <x:v>P08-S01-C04-BO-SIDE</x:v>
      </x:c>
      <x:c r="M5" s="28" t="str">
        <x:v>PASS</x:v>
      </x:c>
    </x:row>
    <x:row r="6" ht="72" customHeight="1">
      <x:c r="A6" s="61" t="n">
        <x:v>5</x:v>
      </x:c>
      <x:c r="B6" s="27" t="str">
        <x:v>P08-S01-C05-DUO-FRONT</x:v>
      </x:c>
      <x:c r="C6" s="27" t="str">
        <x:v>CHARACTER_CONCEPT</x:v>
      </x:c>
      <x:c r="D6" s="27" t="str">
        <x:v>CHARACTER_LOCK</x:v>
      </x:c>
      <x:c r="E6" s="27" t="str"/>
      <x:c r="F6" s="27" t="str"/>
      <x:c r="G6" s="27" t="str">
        <x:v>Meo + Bố</x:v>
      </x:c>
      <x:c r="H6" s="27" t="str">
        <x:v>DUO_FRONT</x:v>
      </x:c>
      <x:c r="I6" s="27" t="str">
        <x:v>N/A</x:v>
      </x:c>
      <x:c r="J6" s="27" t="str">
        <x:v>Shared front scale and relationship definition</x:v>
      </x:c>
      <x:c r="K6" s="27" t="str">
        <x:v>P08-S01-MEO-PRIMARY.REFERENCE.png|P08-S01-MEO-SECONDARY.REFERENCE.png|P08-S01-BO-FRONT.REFERENCE.jpg|P08-S01-BO-SIDE.REFERENCE.jpg</x:v>
      </x:c>
      <x:c r="L6" s="27" t="str">
        <x:v>P08-S01-C05-DUO-FRONT</x:v>
      </x:c>
      <x:c r="M6" s="28" t="str">
        <x:v>PASS</x:v>
      </x:c>
    </x:row>
    <x:row r="7" ht="72" customHeight="1">
      <x:c r="A7" s="61" t="n">
        <x:v>6</x:v>
      </x:c>
      <x:c r="B7" s="27" t="str">
        <x:v>P08-S01-C06-DUO-THREEQ</x:v>
      </x:c>
      <x:c r="C7" s="27" t="str">
        <x:v>CHARACTER_CONCEPT</x:v>
      </x:c>
      <x:c r="D7" s="27" t="str">
        <x:v>CHARACTER_LOCK</x:v>
      </x:c>
      <x:c r="E7" s="27" t="str"/>
      <x:c r="F7" s="27" t="str"/>
      <x:c r="G7" s="27" t="str">
        <x:v>Meo + Bố</x:v>
      </x:c>
      <x:c r="H7" s="27" t="str">
        <x:v>DUO_THREE_QUARTER</x:v>
      </x:c>
      <x:c r="I7" s="27" t="str">
        <x:v>N/A</x:v>
      </x:c>
      <x:c r="J7" s="27" t="str">
        <x:v>Shared three-quarter teamwork definition</x:v>
      </x:c>
      <x:c r="K7" s="27" t="str">
        <x:v>P08-S01-MEO-PRIMARY.REFERENCE.png|P08-S01-MEO-SECONDARY.REFERENCE.png|P08-S01-BO-FRONT.REFERENCE.jpg|P08-S01-BO-SIDE.REFERENCE.jpg</x:v>
      </x:c>
      <x:c r="L7" s="27" t="str">
        <x:v>P08-S01-C06-DUO-THREEQ</x:v>
      </x:c>
      <x:c r="M7" s="28" t="str">
        <x:v>PASS</x:v>
      </x:c>
    </x:row>
    <x:row r="8" ht="72" customHeight="1">
      <x:c r="A8" s="61" t="n">
        <x:v>7</x:v>
      </x:c>
      <x:c r="B8" s="27" t="str">
        <x:v>P08-S01-I001-S1-01A-F01</x:v>
      </x:c>
      <x:c r="C8" s="27" t="str">
        <x:v>STORYBOARD</x:v>
      </x:c>
      <x:c r="D8" s="27" t="str">
        <x:v>I001-S1-01A</x:v>
      </x:c>
      <x:c r="E8" s="27" t="str">
        <x:v>1</x:v>
      </x:c>
      <x:c r="F8" s="27" t="str">
        <x:v>A</x:v>
      </x:c>
      <x:c r="G8" s="27" t="str">
        <x:v>Cánh cửa tí hon</x:v>
      </x:c>
      <x:c r="H8" s="27" t="str">
        <x:v>F01</x:v>
      </x:c>
      <x:c r="I8" s="27" t="str">
        <x:v>0-2s</x:v>
      </x:c>
      <x:c r="J8" s="27" t="str">
        <x:v>OPENING</x:v>
      </x:c>
      <x:c r="K8" s="27" t="str">
        <x:v>P08-S01-MEO-PRIMARY.REFERENCE.png|P08-S01-MEO-SECONDARY.REFERENCE.png|P08-S01-BO-FRONT.REFERENCE.jpg|P08-S01-BO-SIDE.REFERENCE.jpg</x:v>
      </x:c>
      <x:c r="L8" s="27" t="str">
        <x:v>P08-S01-I001-S1-01A-F01</x:v>
      </x:c>
      <x:c r="M8" s="28" t="str">
        <x:v>PASS</x:v>
      </x:c>
    </x:row>
    <x:row r="9" ht="72" customHeight="1">
      <x:c r="A9" s="61" t="n">
        <x:v>8</x:v>
      </x:c>
      <x:c r="B9" s="27" t="str">
        <x:v>P08-S01-I001-S1-01A-F02</x:v>
      </x:c>
      <x:c r="C9" s="27" t="str">
        <x:v>STORYBOARD</x:v>
      </x:c>
      <x:c r="D9" s="27" t="str">
        <x:v>I001-S1-01A</x:v>
      </x:c>
      <x:c r="E9" s="27" t="str">
        <x:v>1</x:v>
      </x:c>
      <x:c r="F9" s="27" t="str">
        <x:v>A</x:v>
      </x:c>
      <x:c r="G9" s="27" t="str">
        <x:v>Cánh cửa tí hon</x:v>
      </x:c>
      <x:c r="H9" s="27" t="str">
        <x:v>F02</x:v>
      </x:c>
      <x:c r="I9" s="27" t="str">
        <x:v>2-7s</x:v>
      </x:c>
      <x:c r="J9" s="27" t="str">
        <x:v>CAUSAL_ACTION</x:v>
      </x:c>
      <x:c r="K9" s="27" t="str">
        <x:v>P08-S01-MEO-PRIMARY.REFERENCE.png|P08-S01-MEO-SECONDARY.REFERENCE.png|P08-S01-BO-FRONT.REFERENCE.jpg|P08-S01-BO-SIDE.REFERENCE.jpg</x:v>
      </x:c>
      <x:c r="L9" s="27" t="str">
        <x:v>P08-S01-I001-S1-01A-F02</x:v>
      </x:c>
      <x:c r="M9" s="28" t="str">
        <x:v>PASS</x:v>
      </x:c>
    </x:row>
    <x:row r="10" ht="72" customHeight="1">
      <x:c r="A10" s="61" t="n">
        <x:v>9</x:v>
      </x:c>
      <x:c r="B10" s="27" t="str">
        <x:v>P08-S01-I001-S1-01A-F03</x:v>
      </x:c>
      <x:c r="C10" s="27" t="str">
        <x:v>STORYBOARD</x:v>
      </x:c>
      <x:c r="D10" s="27" t="str">
        <x:v>I001-S1-01A</x:v>
      </x:c>
      <x:c r="E10" s="27" t="str">
        <x:v>1</x:v>
      </x:c>
      <x:c r="F10" s="27" t="str">
        <x:v>A</x:v>
      </x:c>
      <x:c r="G10" s="27" t="str">
        <x:v>Cánh cửa tí hon</x:v>
      </x:c>
      <x:c r="H10" s="27" t="str">
        <x:v>F03</x:v>
      </x:c>
      <x:c r="I10" s="27" t="str">
        <x:v>7-10s</x:v>
      </x:c>
      <x:c r="J10" s="27" t="str">
        <x:v>CLOSING_STATE</x:v>
      </x:c>
      <x:c r="K10" s="27" t="str">
        <x:v>P08-S01-MEO-PRIMARY.REFERENCE.png|P08-S01-MEO-SECONDARY.REFERENCE.png|P08-S01-BO-FRONT.REFERENCE.jpg|P08-S01-BO-SIDE.REFERENCE.jpg</x:v>
      </x:c>
      <x:c r="L10" s="27" t="str">
        <x:v>P08-S01-I001-S1-01A-F03</x:v>
      </x:c>
      <x:c r="M10" s="28" t="str">
        <x:v>PASS</x:v>
      </x:c>
    </x:row>
    <x:row r="11" ht="72" customHeight="1">
      <x:c r="A11" s="61" t="n">
        <x:v>10</x:v>
      </x:c>
      <x:c r="B11" s="27" t="str">
        <x:v>P08-S01-I001-S1-01B-F01</x:v>
      </x:c>
      <x:c r="C11" s="27" t="str">
        <x:v>STORYBOARD</x:v>
      </x:c>
      <x:c r="D11" s="27" t="str">
        <x:v>I001-S1-01B</x:v>
      </x:c>
      <x:c r="E11" s="27" t="str">
        <x:v>1</x:v>
      </x:c>
      <x:c r="F11" s="27" t="str">
        <x:v>B</x:v>
      </x:c>
      <x:c r="G11" s="27" t="str">
        <x:v>Cánh cửa tí hon</x:v>
      </x:c>
      <x:c r="H11" s="27" t="str">
        <x:v>F01</x:v>
      </x:c>
      <x:c r="I11" s="27" t="str">
        <x:v>0-2s</x:v>
      </x:c>
      <x:c r="J11" s="27" t="str">
        <x:v>OPENING</x:v>
      </x:c>
      <x:c r="K11" s="27" t="str">
        <x:v>P08-S01-MEO-PRIMARY.REFERENCE.png|P08-S01-MEO-SECONDARY.REFERENCE.png|P08-S01-BO-FRONT.REFERENCE.jpg|P08-S01-BO-SIDE.REFERENCE.jpg</x:v>
      </x:c>
      <x:c r="L11" s="27" t="str">
        <x:v>P08-S01-I001-S1-01B-F01</x:v>
      </x:c>
      <x:c r="M11" s="28" t="str">
        <x:v>PASS</x:v>
      </x:c>
    </x:row>
    <x:row r="12" ht="72" customHeight="1">
      <x:c r="A12" s="61" t="n">
        <x:v>11</x:v>
      </x:c>
      <x:c r="B12" s="27" t="str">
        <x:v>P08-S01-I001-S1-01B-F02</x:v>
      </x:c>
      <x:c r="C12" s="27" t="str">
        <x:v>STORYBOARD</x:v>
      </x:c>
      <x:c r="D12" s="27" t="str">
        <x:v>I001-S1-01B</x:v>
      </x:c>
      <x:c r="E12" s="27" t="str">
        <x:v>1</x:v>
      </x:c>
      <x:c r="F12" s="27" t="str">
        <x:v>B</x:v>
      </x:c>
      <x:c r="G12" s="27" t="str">
        <x:v>Cánh cửa tí hon</x:v>
      </x:c>
      <x:c r="H12" s="27" t="str">
        <x:v>F02</x:v>
      </x:c>
      <x:c r="I12" s="27" t="str">
        <x:v>2-7s</x:v>
      </x:c>
      <x:c r="J12" s="27" t="str">
        <x:v>CAUSAL_ACTION</x:v>
      </x:c>
      <x:c r="K12" s="27" t="str">
        <x:v>P08-S01-MEO-PRIMARY.REFERENCE.png|P08-S01-MEO-SECONDARY.REFERENCE.png|P08-S01-BO-FRONT.REFERENCE.jpg|P08-S01-BO-SIDE.REFERENCE.jpg</x:v>
      </x:c>
      <x:c r="L12" s="27" t="str">
        <x:v>P08-S01-I001-S1-01B-F02</x:v>
      </x:c>
      <x:c r="M12" s="28" t="str">
        <x:v>PASS</x:v>
      </x:c>
    </x:row>
    <x:row r="13" ht="72" customHeight="1">
      <x:c r="A13" s="61" t="n">
        <x:v>12</x:v>
      </x:c>
      <x:c r="B13" s="27" t="str">
        <x:v>P08-S01-I001-S1-01B-F03</x:v>
      </x:c>
      <x:c r="C13" s="27" t="str">
        <x:v>STORYBOARD</x:v>
      </x:c>
      <x:c r="D13" s="27" t="str">
        <x:v>I001-S1-01B</x:v>
      </x:c>
      <x:c r="E13" s="27" t="str">
        <x:v>1</x:v>
      </x:c>
      <x:c r="F13" s="27" t="str">
        <x:v>B</x:v>
      </x:c>
      <x:c r="G13" s="27" t="str">
        <x:v>Cánh cửa tí hon</x:v>
      </x:c>
      <x:c r="H13" s="27" t="str">
        <x:v>F03</x:v>
      </x:c>
      <x:c r="I13" s="27" t="str">
        <x:v>7-10s</x:v>
      </x:c>
      <x:c r="J13" s="27" t="str">
        <x:v>CLOSING_STATE</x:v>
      </x:c>
      <x:c r="K13" s="27" t="str">
        <x:v>P08-S01-MEO-PRIMARY.REFERENCE.png|P08-S01-MEO-SECONDARY.REFERENCE.png|P08-S01-BO-FRONT.REFERENCE.jpg|P08-S01-BO-SIDE.REFERENCE.jpg</x:v>
      </x:c>
      <x:c r="L13" s="27" t="str">
        <x:v>P08-S01-I001-S1-01B-F03</x:v>
      </x:c>
      <x:c r="M13" s="28" t="str">
        <x:v>PASS</x:v>
      </x:c>
    </x:row>
    <x:row r="14" ht="72" customHeight="1">
      <x:c r="A14" s="61" t="n">
        <x:v>13</x:v>
      </x:c>
      <x:c r="B14" s="27" t="str">
        <x:v>P08-S01-I001-S1-02A-F01</x:v>
      </x:c>
      <x:c r="C14" s="27" t="str">
        <x:v>STORYBOARD</x:v>
      </x:c>
      <x:c r="D14" s="27" t="str">
        <x:v>I001-S1-02A</x:v>
      </x:c>
      <x:c r="E14" s="27" t="str">
        <x:v>2</x:v>
      </x:c>
      <x:c r="F14" s="27" t="str">
        <x:v>A</x:v>
      </x:c>
      <x:c r="G14" s="27" t="str">
        <x:v>Thấu kính giọt sương</x:v>
      </x:c>
      <x:c r="H14" s="27" t="str">
        <x:v>F01</x:v>
      </x:c>
      <x:c r="I14" s="27" t="str">
        <x:v>0-2s</x:v>
      </x:c>
      <x:c r="J14" s="27" t="str">
        <x:v>OPENING</x:v>
      </x:c>
      <x:c r="K14" s="27" t="str">
        <x:v>P08-S01-MEO-PRIMARY.REFERENCE.png|P08-S01-MEO-SECONDARY.REFERENCE.png|P08-S01-BO-FRONT.REFERENCE.jpg|P08-S01-BO-SIDE.REFERENCE.jpg</x:v>
      </x:c>
      <x:c r="L14" s="27" t="str">
        <x:v>P08-S01-I001-S1-02A-F01</x:v>
      </x:c>
      <x:c r="M14" s="28" t="str">
        <x:v>PASS</x:v>
      </x:c>
    </x:row>
    <x:row r="15" ht="72" customHeight="1">
      <x:c r="A15" s="61" t="n">
        <x:v>14</x:v>
      </x:c>
      <x:c r="B15" s="27" t="str">
        <x:v>P08-S01-I001-S1-02A-F02</x:v>
      </x:c>
      <x:c r="C15" s="27" t="str">
        <x:v>STORYBOARD</x:v>
      </x:c>
      <x:c r="D15" s="27" t="str">
        <x:v>I001-S1-02A</x:v>
      </x:c>
      <x:c r="E15" s="27" t="str">
        <x:v>2</x:v>
      </x:c>
      <x:c r="F15" s="27" t="str">
        <x:v>A</x:v>
      </x:c>
      <x:c r="G15" s="27" t="str">
        <x:v>Thấu kính giọt sương</x:v>
      </x:c>
      <x:c r="H15" s="27" t="str">
        <x:v>F02</x:v>
      </x:c>
      <x:c r="I15" s="27" t="str">
        <x:v>2-7s</x:v>
      </x:c>
      <x:c r="J15" s="27" t="str">
        <x:v>CAUSAL_ACTION</x:v>
      </x:c>
      <x:c r="K15" s="27" t="str">
        <x:v>P08-S01-MEO-PRIMARY.REFERENCE.png|P08-S01-MEO-SECONDARY.REFERENCE.png|P08-S01-BO-FRONT.REFERENCE.jpg|P08-S01-BO-SIDE.REFERENCE.jpg</x:v>
      </x:c>
      <x:c r="L15" s="27" t="str">
        <x:v>P08-S01-I001-S1-02A-F02</x:v>
      </x:c>
      <x:c r="M15" s="28" t="str">
        <x:v>PASS</x:v>
      </x:c>
    </x:row>
    <x:row r="16" ht="72" customHeight="1">
      <x:c r="A16" s="61" t="n">
        <x:v>15</x:v>
      </x:c>
      <x:c r="B16" s="27" t="str">
        <x:v>P08-S01-I001-S1-02A-F03</x:v>
      </x:c>
      <x:c r="C16" s="27" t="str">
        <x:v>STORYBOARD</x:v>
      </x:c>
      <x:c r="D16" s="27" t="str">
        <x:v>I001-S1-02A</x:v>
      </x:c>
      <x:c r="E16" s="27" t="str">
        <x:v>2</x:v>
      </x:c>
      <x:c r="F16" s="27" t="str">
        <x:v>A</x:v>
      </x:c>
      <x:c r="G16" s="27" t="str">
        <x:v>Thấu kính giọt sương</x:v>
      </x:c>
      <x:c r="H16" s="27" t="str">
        <x:v>F03</x:v>
      </x:c>
      <x:c r="I16" s="27" t="str">
        <x:v>7-10s</x:v>
      </x:c>
      <x:c r="J16" s="27" t="str">
        <x:v>CLOSING_STATE</x:v>
      </x:c>
      <x:c r="K16" s="27" t="str">
        <x:v>P08-S01-MEO-PRIMARY.REFERENCE.png|P08-S01-MEO-SECONDARY.REFERENCE.png|P08-S01-BO-FRONT.REFERENCE.jpg|P08-S01-BO-SIDE.REFERENCE.jpg</x:v>
      </x:c>
      <x:c r="L16" s="27" t="str">
        <x:v>P08-S01-I001-S1-02A-F03</x:v>
      </x:c>
      <x:c r="M16" s="28" t="str">
        <x:v>PASS</x:v>
      </x:c>
    </x:row>
    <x:row r="17" ht="72" customHeight="1">
      <x:c r="A17" s="61" t="n">
        <x:v>16</x:v>
      </x:c>
      <x:c r="B17" s="27" t="str">
        <x:v>P08-S01-I001-S1-02B-F01</x:v>
      </x:c>
      <x:c r="C17" s="27" t="str">
        <x:v>STORYBOARD</x:v>
      </x:c>
      <x:c r="D17" s="27" t="str">
        <x:v>I001-S1-02B</x:v>
      </x:c>
      <x:c r="E17" s="27" t="str">
        <x:v>2</x:v>
      </x:c>
      <x:c r="F17" s="27" t="str">
        <x:v>B</x:v>
      </x:c>
      <x:c r="G17" s="27" t="str">
        <x:v>Thấu kính giọt sương</x:v>
      </x:c>
      <x:c r="H17" s="27" t="str">
        <x:v>F01</x:v>
      </x:c>
      <x:c r="I17" s="27" t="str">
        <x:v>0-2s</x:v>
      </x:c>
      <x:c r="J17" s="27" t="str">
        <x:v>OPENING</x:v>
      </x:c>
      <x:c r="K17" s="27" t="str">
        <x:v>P08-S01-MEO-PRIMARY.REFERENCE.png|P08-S01-MEO-SECONDARY.REFERENCE.png|P08-S01-BO-FRONT.REFERENCE.jpg|P08-S01-BO-SIDE.REFERENCE.jpg</x:v>
      </x:c>
      <x:c r="L17" s="27" t="str">
        <x:v>P08-S01-I001-S1-02B-F01</x:v>
      </x:c>
      <x:c r="M17" s="28" t="str">
        <x:v>PASS</x:v>
      </x:c>
    </x:row>
    <x:row r="18" ht="72" customHeight="1">
      <x:c r="A18" s="61" t="n">
        <x:v>17</x:v>
      </x:c>
      <x:c r="B18" s="27" t="str">
        <x:v>P08-S01-I001-S1-02B-F02</x:v>
      </x:c>
      <x:c r="C18" s="27" t="str">
        <x:v>STORYBOARD</x:v>
      </x:c>
      <x:c r="D18" s="27" t="str">
        <x:v>I001-S1-02B</x:v>
      </x:c>
      <x:c r="E18" s="27" t="str">
        <x:v>2</x:v>
      </x:c>
      <x:c r="F18" s="27" t="str">
        <x:v>B</x:v>
      </x:c>
      <x:c r="G18" s="27" t="str">
        <x:v>Thấu kính giọt sương</x:v>
      </x:c>
      <x:c r="H18" s="27" t="str">
        <x:v>F02</x:v>
      </x:c>
      <x:c r="I18" s="27" t="str">
        <x:v>2-7s</x:v>
      </x:c>
      <x:c r="J18" s="27" t="str">
        <x:v>CAUSAL_ACTION</x:v>
      </x:c>
      <x:c r="K18" s="27" t="str">
        <x:v>P08-S01-MEO-PRIMARY.REFERENCE.png|P08-S01-MEO-SECONDARY.REFERENCE.png|P08-S01-BO-FRONT.REFERENCE.jpg|P08-S01-BO-SIDE.REFERENCE.jpg</x:v>
      </x:c>
      <x:c r="L18" s="27" t="str">
        <x:v>P08-S01-I001-S1-02B-F02</x:v>
      </x:c>
      <x:c r="M18" s="28" t="str">
        <x:v>PASS</x:v>
      </x:c>
    </x:row>
    <x:row r="19" ht="72" customHeight="1">
      <x:c r="A19" s="61" t="n">
        <x:v>18</x:v>
      </x:c>
      <x:c r="B19" s="27" t="str">
        <x:v>P08-S01-I001-S1-02B-F03</x:v>
      </x:c>
      <x:c r="C19" s="27" t="str">
        <x:v>STORYBOARD</x:v>
      </x:c>
      <x:c r="D19" s="27" t="str">
        <x:v>I001-S1-02B</x:v>
      </x:c>
      <x:c r="E19" s="27" t="str">
        <x:v>2</x:v>
      </x:c>
      <x:c r="F19" s="27" t="str">
        <x:v>B</x:v>
      </x:c>
      <x:c r="G19" s="27" t="str">
        <x:v>Thấu kính giọt sương</x:v>
      </x:c>
      <x:c r="H19" s="27" t="str">
        <x:v>F03</x:v>
      </x:c>
      <x:c r="I19" s="27" t="str">
        <x:v>7-10s</x:v>
      </x:c>
      <x:c r="J19" s="27" t="str">
        <x:v>CLOSING_STATE</x:v>
      </x:c>
      <x:c r="K19" s="27" t="str">
        <x:v>P08-S01-MEO-PRIMARY.REFERENCE.png|P08-S01-MEO-SECONDARY.REFERENCE.png|P08-S01-BO-FRONT.REFERENCE.jpg|P08-S01-BO-SIDE.REFERENCE.jpg</x:v>
      </x:c>
      <x:c r="L19" s="27" t="str">
        <x:v>P08-S01-I001-S1-02B-F03</x:v>
      </x:c>
      <x:c r="M19" s="28" t="str">
        <x:v>PASS</x:v>
      </x:c>
    </x:row>
    <x:row r="20" ht="72" customHeight="1">
      <x:c r="A20" s="61" t="n">
        <x:v>19</x:v>
      </x:c>
      <x:c r="B20" s="27" t="str">
        <x:v>P08-S01-I001-S1-03A-F01</x:v>
      </x:c>
      <x:c r="C20" s="27" t="str">
        <x:v>STORYBOARD</x:v>
      </x:c>
      <x:c r="D20" s="27" t="str">
        <x:v>I001-S1-03A</x:v>
      </x:c>
      <x:c r="E20" s="27" t="str">
        <x:v>3</x:v>
      </x:c>
      <x:c r="F20" s="27" t="str">
        <x:v>A</x:v>
      </x:c>
      <x:c r="G20" s="27" t="str">
        <x:v>Đường hầm băng dính</x:v>
      </x:c>
      <x:c r="H20" s="27" t="str">
        <x:v>F01</x:v>
      </x:c>
      <x:c r="I20" s="27" t="str">
        <x:v>0-2s</x:v>
      </x:c>
      <x:c r="J20" s="27" t="str">
        <x:v>OPENING</x:v>
      </x:c>
      <x:c r="K20" s="27" t="str">
        <x:v>P08-S01-MEO-PRIMARY.REFERENCE.png|P08-S01-MEO-SECONDARY.REFERENCE.png|P08-S01-BO-FRONT.REFERENCE.jpg|P08-S01-BO-SIDE.REFERENCE.jpg</x:v>
      </x:c>
      <x:c r="L20" s="27" t="str">
        <x:v>P08-S01-I001-S1-03A-F01</x:v>
      </x:c>
      <x:c r="M20" s="28" t="str">
        <x:v>PASS</x:v>
      </x:c>
    </x:row>
    <x:row r="21" ht="72" customHeight="1">
      <x:c r="A21" s="61" t="n">
        <x:v>20</x:v>
      </x:c>
      <x:c r="B21" s="27" t="str">
        <x:v>P08-S01-I001-S1-03A-F02</x:v>
      </x:c>
      <x:c r="C21" s="27" t="str">
        <x:v>STORYBOARD</x:v>
      </x:c>
      <x:c r="D21" s="27" t="str">
        <x:v>I001-S1-03A</x:v>
      </x:c>
      <x:c r="E21" s="27" t="str">
        <x:v>3</x:v>
      </x:c>
      <x:c r="F21" s="27" t="str">
        <x:v>A</x:v>
      </x:c>
      <x:c r="G21" s="27" t="str">
        <x:v>Đường hầm băng dính</x:v>
      </x:c>
      <x:c r="H21" s="27" t="str">
        <x:v>F02</x:v>
      </x:c>
      <x:c r="I21" s="27" t="str">
        <x:v>2-7s</x:v>
      </x:c>
      <x:c r="J21" s="27" t="str">
        <x:v>CAUSAL_ACTION</x:v>
      </x:c>
      <x:c r="K21" s="27" t="str">
        <x:v>P08-S01-MEO-PRIMARY.REFERENCE.png|P08-S01-MEO-SECONDARY.REFERENCE.png|P08-S01-BO-FRONT.REFERENCE.jpg|P08-S01-BO-SIDE.REFERENCE.jpg</x:v>
      </x:c>
      <x:c r="L21" s="27" t="str">
        <x:v>P08-S01-I001-S1-03A-F02</x:v>
      </x:c>
      <x:c r="M21" s="28" t="str">
        <x:v>PASS</x:v>
      </x:c>
    </x:row>
    <x:row r="22" ht="72" customHeight="1">
      <x:c r="A22" s="61" t="n">
        <x:v>21</x:v>
      </x:c>
      <x:c r="B22" s="27" t="str">
        <x:v>P08-S01-I001-S1-03A-F03</x:v>
      </x:c>
      <x:c r="C22" s="27" t="str">
        <x:v>STORYBOARD</x:v>
      </x:c>
      <x:c r="D22" s="27" t="str">
        <x:v>I001-S1-03A</x:v>
      </x:c>
      <x:c r="E22" s="27" t="str">
        <x:v>3</x:v>
      </x:c>
      <x:c r="F22" s="27" t="str">
        <x:v>A</x:v>
      </x:c>
      <x:c r="G22" s="27" t="str">
        <x:v>Đường hầm băng dính</x:v>
      </x:c>
      <x:c r="H22" s="27" t="str">
        <x:v>F03</x:v>
      </x:c>
      <x:c r="I22" s="27" t="str">
        <x:v>7-10s</x:v>
      </x:c>
      <x:c r="J22" s="27" t="str">
        <x:v>CLOSING_STATE</x:v>
      </x:c>
      <x:c r="K22" s="27" t="str">
        <x:v>P08-S01-MEO-PRIMARY.REFERENCE.png|P08-S01-MEO-SECONDARY.REFERENCE.png|P08-S01-BO-FRONT.REFERENCE.jpg|P08-S01-BO-SIDE.REFERENCE.jpg</x:v>
      </x:c>
      <x:c r="L22" s="27" t="str">
        <x:v>P08-S01-I001-S1-03A-F03</x:v>
      </x:c>
      <x:c r="M22" s="28" t="str">
        <x:v>PASS</x:v>
      </x:c>
    </x:row>
    <x:row r="23" ht="72" customHeight="1">
      <x:c r="A23" s="61" t="n">
        <x:v>22</x:v>
      </x:c>
      <x:c r="B23" s="27" t="str">
        <x:v>P08-S01-I001-S1-03B-F01</x:v>
      </x:c>
      <x:c r="C23" s="27" t="str">
        <x:v>STORYBOARD</x:v>
      </x:c>
      <x:c r="D23" s="27" t="str">
        <x:v>I001-S1-03B</x:v>
      </x:c>
      <x:c r="E23" s="27" t="str">
        <x:v>3</x:v>
      </x:c>
      <x:c r="F23" s="27" t="str">
        <x:v>B</x:v>
      </x:c>
      <x:c r="G23" s="27" t="str">
        <x:v>Đường hầm băng dính</x:v>
      </x:c>
      <x:c r="H23" s="27" t="str">
        <x:v>F01</x:v>
      </x:c>
      <x:c r="I23" s="27" t="str">
        <x:v>0-2s</x:v>
      </x:c>
      <x:c r="J23" s="27" t="str">
        <x:v>OPENING</x:v>
      </x:c>
      <x:c r="K23" s="27" t="str">
        <x:v>P08-S01-MEO-PRIMARY.REFERENCE.png|P08-S01-MEO-SECONDARY.REFERENCE.png|P08-S01-BO-FRONT.REFERENCE.jpg|P08-S01-BO-SIDE.REFERENCE.jpg</x:v>
      </x:c>
      <x:c r="L23" s="27" t="str">
        <x:v>P08-S01-I001-S1-03B-F01</x:v>
      </x:c>
      <x:c r="M23" s="28" t="str">
        <x:v>PASS</x:v>
      </x:c>
    </x:row>
    <x:row r="24" ht="72" customHeight="1">
      <x:c r="A24" s="61" t="n">
        <x:v>23</x:v>
      </x:c>
      <x:c r="B24" s="27" t="str">
        <x:v>P08-S01-I001-S1-03B-F02</x:v>
      </x:c>
      <x:c r="C24" s="27" t="str">
        <x:v>STORYBOARD</x:v>
      </x:c>
      <x:c r="D24" s="27" t="str">
        <x:v>I001-S1-03B</x:v>
      </x:c>
      <x:c r="E24" s="27" t="str">
        <x:v>3</x:v>
      </x:c>
      <x:c r="F24" s="27" t="str">
        <x:v>B</x:v>
      </x:c>
      <x:c r="G24" s="27" t="str">
        <x:v>Đường hầm băng dính</x:v>
      </x:c>
      <x:c r="H24" s="27" t="str">
        <x:v>F02</x:v>
      </x:c>
      <x:c r="I24" s="27" t="str">
        <x:v>2-7s</x:v>
      </x:c>
      <x:c r="J24" s="27" t="str">
        <x:v>CAUSAL_ACTION</x:v>
      </x:c>
      <x:c r="K24" s="27" t="str">
        <x:v>P08-S01-MEO-PRIMARY.REFERENCE.png|P08-S01-MEO-SECONDARY.REFERENCE.png|P08-S01-BO-FRONT.REFERENCE.jpg|P08-S01-BO-SIDE.REFERENCE.jpg</x:v>
      </x:c>
      <x:c r="L24" s="27" t="str">
        <x:v>P08-S01-I001-S1-03B-F02</x:v>
      </x:c>
      <x:c r="M24" s="28" t="str">
        <x:v>PASS</x:v>
      </x:c>
    </x:row>
    <x:row r="25" ht="72" customHeight="1">
      <x:c r="A25" s="61" t="n">
        <x:v>24</x:v>
      </x:c>
      <x:c r="B25" s="27" t="str">
        <x:v>P08-S01-I001-S1-03B-F03</x:v>
      </x:c>
      <x:c r="C25" s="27" t="str">
        <x:v>STORYBOARD</x:v>
      </x:c>
      <x:c r="D25" s="27" t="str">
        <x:v>I001-S1-03B</x:v>
      </x:c>
      <x:c r="E25" s="27" t="str">
        <x:v>3</x:v>
      </x:c>
      <x:c r="F25" s="27" t="str">
        <x:v>B</x:v>
      </x:c>
      <x:c r="G25" s="27" t="str">
        <x:v>Đường hầm băng dính</x:v>
      </x:c>
      <x:c r="H25" s="27" t="str">
        <x:v>F03</x:v>
      </x:c>
      <x:c r="I25" s="27" t="str">
        <x:v>7-10s</x:v>
      </x:c>
      <x:c r="J25" s="27" t="str">
        <x:v>CLOSING_STATE</x:v>
      </x:c>
      <x:c r="K25" s="27" t="str">
        <x:v>P08-S01-MEO-PRIMARY.REFERENCE.png|P08-S01-MEO-SECONDARY.REFERENCE.png|P08-S01-BO-FRONT.REFERENCE.jpg|P08-S01-BO-SIDE.REFERENCE.jpg</x:v>
      </x:c>
      <x:c r="L25" s="27" t="str">
        <x:v>P08-S01-I001-S1-03B-F03</x:v>
      </x:c>
      <x:c r="M25" s="28" t="str">
        <x:v>PASS</x:v>
      </x:c>
    </x:row>
    <x:row r="26" ht="72" customHeight="1">
      <x:c r="A26" s="61" t="n">
        <x:v>25</x:v>
      </x:c>
      <x:c r="B26" s="27" t="str">
        <x:v>P08-S01-I001-S1-04A-F01</x:v>
      </x:c>
      <x:c r="C26" s="27" t="str">
        <x:v>STORYBOARD</x:v>
      </x:c>
      <x:c r="D26" s="27" t="str">
        <x:v>I001-S1-04A</x:v>
      </x:c>
      <x:c r="E26" s="27" t="str">
        <x:v>4</x:v>
      </x:c>
      <x:c r="F26" s="27" t="str">
        <x:v>A</x:v>
      </x:c>
      <x:c r="G26" s="27" t="str">
        <x:v>Con đường ruy băng xoắn</x:v>
      </x:c>
      <x:c r="H26" s="27" t="str">
        <x:v>F01</x:v>
      </x:c>
      <x:c r="I26" s="27" t="str">
        <x:v>0-2s</x:v>
      </x:c>
      <x:c r="J26" s="27" t="str">
        <x:v>OPENING</x:v>
      </x:c>
      <x:c r="K26" s="27" t="str">
        <x:v>P08-S01-MEO-PRIMARY.REFERENCE.png|P08-S01-MEO-SECONDARY.REFERENCE.png|P08-S01-BO-FRONT.REFERENCE.jpg|P08-S01-BO-SIDE.REFERENCE.jpg</x:v>
      </x:c>
      <x:c r="L26" s="27" t="str">
        <x:v>P08-S01-I001-S1-04A-F01</x:v>
      </x:c>
      <x:c r="M26" s="28" t="str">
        <x:v>PASS</x:v>
      </x:c>
    </x:row>
    <x:row r="27" ht="72" customHeight="1">
      <x:c r="A27" s="61" t="n">
        <x:v>26</x:v>
      </x:c>
      <x:c r="B27" s="27" t="str">
        <x:v>P08-S01-I001-S1-04A-F02</x:v>
      </x:c>
      <x:c r="C27" s="27" t="str">
        <x:v>STORYBOARD</x:v>
      </x:c>
      <x:c r="D27" s="27" t="str">
        <x:v>I001-S1-04A</x:v>
      </x:c>
      <x:c r="E27" s="27" t="str">
        <x:v>4</x:v>
      </x:c>
      <x:c r="F27" s="27" t="str">
        <x:v>A</x:v>
      </x:c>
      <x:c r="G27" s="27" t="str">
        <x:v>Con đường ruy băng xoắn</x:v>
      </x:c>
      <x:c r="H27" s="27" t="str">
        <x:v>F02</x:v>
      </x:c>
      <x:c r="I27" s="27" t="str">
        <x:v>2-7s</x:v>
      </x:c>
      <x:c r="J27" s="27" t="str">
        <x:v>CAUSAL_ACTION</x:v>
      </x:c>
      <x:c r="K27" s="27" t="str">
        <x:v>P08-S01-MEO-PRIMARY.REFERENCE.png|P08-S01-MEO-SECONDARY.REFERENCE.png|P08-S01-BO-FRONT.REFERENCE.jpg|P08-S01-BO-SIDE.REFERENCE.jpg</x:v>
      </x:c>
      <x:c r="L27" s="27" t="str">
        <x:v>P08-S01-I001-S1-04A-F02</x:v>
      </x:c>
      <x:c r="M27" s="28" t="str">
        <x:v>PASS</x:v>
      </x:c>
    </x:row>
    <x:row r="28" ht="72" customHeight="1">
      <x:c r="A28" s="61" t="n">
        <x:v>27</x:v>
      </x:c>
      <x:c r="B28" s="27" t="str">
        <x:v>P08-S01-I001-S1-04A-F03</x:v>
      </x:c>
      <x:c r="C28" s="27" t="str">
        <x:v>STORYBOARD</x:v>
      </x:c>
      <x:c r="D28" s="27" t="str">
        <x:v>I001-S1-04A</x:v>
      </x:c>
      <x:c r="E28" s="27" t="str">
        <x:v>4</x:v>
      </x:c>
      <x:c r="F28" s="27" t="str">
        <x:v>A</x:v>
      </x:c>
      <x:c r="G28" s="27" t="str">
        <x:v>Con đường ruy băng xoắn</x:v>
      </x:c>
      <x:c r="H28" s="27" t="str">
        <x:v>F03</x:v>
      </x:c>
      <x:c r="I28" s="27" t="str">
        <x:v>7-10s</x:v>
      </x:c>
      <x:c r="J28" s="27" t="str">
        <x:v>CLOSING_STATE</x:v>
      </x:c>
      <x:c r="K28" s="27" t="str">
        <x:v>P08-S01-MEO-PRIMARY.REFERENCE.png|P08-S01-MEO-SECONDARY.REFERENCE.png|P08-S01-BO-FRONT.REFERENCE.jpg|P08-S01-BO-SIDE.REFERENCE.jpg</x:v>
      </x:c>
      <x:c r="L28" s="27" t="str">
        <x:v>P08-S01-I001-S1-04A-F03</x:v>
      </x:c>
      <x:c r="M28" s="28" t="str">
        <x:v>PASS</x:v>
      </x:c>
    </x:row>
    <x:row r="29" ht="72" customHeight="1">
      <x:c r="A29" s="61" t="n">
        <x:v>28</x:v>
      </x:c>
      <x:c r="B29" s="27" t="str">
        <x:v>P08-S01-I001-S1-04B-F01</x:v>
      </x:c>
      <x:c r="C29" s="27" t="str">
        <x:v>STORYBOARD</x:v>
      </x:c>
      <x:c r="D29" s="27" t="str">
        <x:v>I001-S1-04B</x:v>
      </x:c>
      <x:c r="E29" s="27" t="str">
        <x:v>4</x:v>
      </x:c>
      <x:c r="F29" s="27" t="str">
        <x:v>B</x:v>
      </x:c>
      <x:c r="G29" s="27" t="str">
        <x:v>Con đường ruy băng xoắn</x:v>
      </x:c>
      <x:c r="H29" s="27" t="str">
        <x:v>F01</x:v>
      </x:c>
      <x:c r="I29" s="27" t="str">
        <x:v>0-2s</x:v>
      </x:c>
      <x:c r="J29" s="27" t="str">
        <x:v>OPENING</x:v>
      </x:c>
      <x:c r="K29" s="27" t="str">
        <x:v>P08-S01-MEO-PRIMARY.REFERENCE.png|P08-S01-MEO-SECONDARY.REFERENCE.png|P08-S01-BO-FRONT.REFERENCE.jpg|P08-S01-BO-SIDE.REFERENCE.jpg</x:v>
      </x:c>
      <x:c r="L29" s="27" t="str">
        <x:v>P08-S01-I001-S1-04B-F01</x:v>
      </x:c>
      <x:c r="M29" s="28" t="str">
        <x:v>PASS</x:v>
      </x:c>
    </x:row>
    <x:row r="30" ht="72" customHeight="1">
      <x:c r="A30" s="61" t="n">
        <x:v>29</x:v>
      </x:c>
      <x:c r="B30" s="27" t="str">
        <x:v>P08-S01-I001-S1-04B-F02</x:v>
      </x:c>
      <x:c r="C30" s="27" t="str">
        <x:v>STORYBOARD</x:v>
      </x:c>
      <x:c r="D30" s="27" t="str">
        <x:v>I001-S1-04B</x:v>
      </x:c>
      <x:c r="E30" s="27" t="str">
        <x:v>4</x:v>
      </x:c>
      <x:c r="F30" s="27" t="str">
        <x:v>B</x:v>
      </x:c>
      <x:c r="G30" s="27" t="str">
        <x:v>Con đường ruy băng xoắn</x:v>
      </x:c>
      <x:c r="H30" s="27" t="str">
        <x:v>F02</x:v>
      </x:c>
      <x:c r="I30" s="27" t="str">
        <x:v>2-7s</x:v>
      </x:c>
      <x:c r="J30" s="27" t="str">
        <x:v>CAUSAL_ACTION</x:v>
      </x:c>
      <x:c r="K30" s="27" t="str">
        <x:v>P08-S01-MEO-PRIMARY.REFERENCE.png|P08-S01-MEO-SECONDARY.REFERENCE.png|P08-S01-BO-FRONT.REFERENCE.jpg|P08-S01-BO-SIDE.REFERENCE.jpg</x:v>
      </x:c>
      <x:c r="L30" s="27" t="str">
        <x:v>P08-S01-I001-S1-04B-F02</x:v>
      </x:c>
      <x:c r="M30" s="28" t="str">
        <x:v>PASS</x:v>
      </x:c>
    </x:row>
    <x:row r="31" ht="72" customHeight="1">
      <x:c r="A31" s="61" t="n">
        <x:v>30</x:v>
      </x:c>
      <x:c r="B31" s="27" t="str">
        <x:v>P08-S01-I001-S1-04B-F03</x:v>
      </x:c>
      <x:c r="C31" s="27" t="str">
        <x:v>STORYBOARD</x:v>
      </x:c>
      <x:c r="D31" s="27" t="str">
        <x:v>I001-S1-04B</x:v>
      </x:c>
      <x:c r="E31" s="27" t="str">
        <x:v>4</x:v>
      </x:c>
      <x:c r="F31" s="27" t="str">
        <x:v>B</x:v>
      </x:c>
      <x:c r="G31" s="27" t="str">
        <x:v>Con đường ruy băng xoắn</x:v>
      </x:c>
      <x:c r="H31" s="27" t="str">
        <x:v>F03</x:v>
      </x:c>
      <x:c r="I31" s="27" t="str">
        <x:v>7-10s</x:v>
      </x:c>
      <x:c r="J31" s="27" t="str">
        <x:v>CLOSING_STATE</x:v>
      </x:c>
      <x:c r="K31" s="27" t="str">
        <x:v>P08-S01-MEO-PRIMARY.REFERENCE.png|P08-S01-MEO-SECONDARY.REFERENCE.png|P08-S01-BO-FRONT.REFERENCE.jpg|P08-S01-BO-SIDE.REFERENCE.jpg</x:v>
      </x:c>
      <x:c r="L31" s="27" t="str">
        <x:v>P08-S01-I001-S1-04B-F03</x:v>
      </x:c>
      <x:c r="M31" s="28" t="str">
        <x:v>PASS</x:v>
      </x:c>
    </x:row>
    <x:row r="32" ht="72" customHeight="1">
      <x:c r="A32" s="61" t="n">
        <x:v>31</x:v>
      </x:c>
      <x:c r="B32" s="27" t="str">
        <x:v>P08-S01-I001-S1-05A-F01</x:v>
      </x:c>
      <x:c r="C32" s="27" t="str">
        <x:v>STORYBOARD</x:v>
      </x:c>
      <x:c r="D32" s="27" t="str">
        <x:v>I001-S1-05A</x:v>
      </x:c>
      <x:c r="E32" s="27" t="str">
        <x:v>5</x:v>
      </x:c>
      <x:c r="F32" s="27" t="str">
        <x:v>A</x:v>
      </x:c>
      <x:c r="G32" s="27" t="str">
        <x:v>Lối qua khóa kéo khổng lồ</x:v>
      </x:c>
      <x:c r="H32" s="27" t="str">
        <x:v>F01</x:v>
      </x:c>
      <x:c r="I32" s="27" t="str">
        <x:v>0-2s</x:v>
      </x:c>
      <x:c r="J32" s="27" t="str">
        <x:v>OPENING</x:v>
      </x:c>
      <x:c r="K32" s="27" t="str">
        <x:v>P08-S01-MEO-PRIMARY.REFERENCE.png|P08-S01-MEO-SECONDARY.REFERENCE.png|P08-S01-BO-FRONT.REFERENCE.jpg|P08-S01-BO-SIDE.REFERENCE.jpg</x:v>
      </x:c>
      <x:c r="L32" s="27" t="str">
        <x:v>P08-S01-I001-S1-05A-F01</x:v>
      </x:c>
      <x:c r="M32" s="28" t="str">
        <x:v>PASS</x:v>
      </x:c>
    </x:row>
    <x:row r="33" ht="72" customHeight="1">
      <x:c r="A33" s="61" t="n">
        <x:v>32</x:v>
      </x:c>
      <x:c r="B33" s="27" t="str">
        <x:v>P08-S01-I001-S1-05A-F02</x:v>
      </x:c>
      <x:c r="C33" s="27" t="str">
        <x:v>STORYBOARD</x:v>
      </x:c>
      <x:c r="D33" s="27" t="str">
        <x:v>I001-S1-05A</x:v>
      </x:c>
      <x:c r="E33" s="27" t="str">
        <x:v>5</x:v>
      </x:c>
      <x:c r="F33" s="27" t="str">
        <x:v>A</x:v>
      </x:c>
      <x:c r="G33" s="27" t="str">
        <x:v>Lối qua khóa kéo khổng lồ</x:v>
      </x:c>
      <x:c r="H33" s="27" t="str">
        <x:v>F02</x:v>
      </x:c>
      <x:c r="I33" s="27" t="str">
        <x:v>2-7s</x:v>
      </x:c>
      <x:c r="J33" s="27" t="str">
        <x:v>CAUSAL_ACTION</x:v>
      </x:c>
      <x:c r="K33" s="27" t="str">
        <x:v>P08-S01-MEO-PRIMARY.REFERENCE.png|P08-S01-MEO-SECONDARY.REFERENCE.png|P08-S01-BO-FRONT.REFERENCE.jpg|P08-S01-BO-SIDE.REFERENCE.jpg</x:v>
      </x:c>
      <x:c r="L33" s="27" t="str">
        <x:v>P08-S01-I001-S1-05A-F02</x:v>
      </x:c>
      <x:c r="M33" s="28" t="str">
        <x:v>PASS</x:v>
      </x:c>
    </x:row>
    <x:row r="34" ht="72" customHeight="1">
      <x:c r="A34" s="61" t="n">
        <x:v>33</x:v>
      </x:c>
      <x:c r="B34" s="27" t="str">
        <x:v>P08-S01-I001-S1-05A-F03</x:v>
      </x:c>
      <x:c r="C34" s="27" t="str">
        <x:v>STORYBOARD</x:v>
      </x:c>
      <x:c r="D34" s="27" t="str">
        <x:v>I001-S1-05A</x:v>
      </x:c>
      <x:c r="E34" s="27" t="str">
        <x:v>5</x:v>
      </x:c>
      <x:c r="F34" s="27" t="str">
        <x:v>A</x:v>
      </x:c>
      <x:c r="G34" s="27" t="str">
        <x:v>Lối qua khóa kéo khổng lồ</x:v>
      </x:c>
      <x:c r="H34" s="27" t="str">
        <x:v>F03</x:v>
      </x:c>
      <x:c r="I34" s="27" t="str">
        <x:v>7-10s</x:v>
      </x:c>
      <x:c r="J34" s="27" t="str">
        <x:v>CLOSING_STATE</x:v>
      </x:c>
      <x:c r="K34" s="27" t="str">
        <x:v>P08-S01-MEO-PRIMARY.REFERENCE.png|P08-S01-MEO-SECONDARY.REFERENCE.png|P08-S01-BO-FRONT.REFERENCE.jpg|P08-S01-BO-SIDE.REFERENCE.jpg</x:v>
      </x:c>
      <x:c r="L34" s="27" t="str">
        <x:v>P08-S01-I001-S1-05A-F03</x:v>
      </x:c>
      <x:c r="M34" s="28" t="str">
        <x:v>PASS</x:v>
      </x:c>
    </x:row>
    <x:row r="35" ht="72" customHeight="1">
      <x:c r="A35" s="61" t="n">
        <x:v>34</x:v>
      </x:c>
      <x:c r="B35" s="27" t="str">
        <x:v>P08-S01-I001-S1-05B-F01</x:v>
      </x:c>
      <x:c r="C35" s="27" t="str">
        <x:v>STORYBOARD</x:v>
      </x:c>
      <x:c r="D35" s="27" t="str">
        <x:v>I001-S1-05B</x:v>
      </x:c>
      <x:c r="E35" s="27" t="str">
        <x:v>5</x:v>
      </x:c>
      <x:c r="F35" s="27" t="str">
        <x:v>B</x:v>
      </x:c>
      <x:c r="G35" s="27" t="str">
        <x:v>Lối qua khóa kéo khổng lồ</x:v>
      </x:c>
      <x:c r="H35" s="27" t="str">
        <x:v>F01</x:v>
      </x:c>
      <x:c r="I35" s="27" t="str">
        <x:v>0-2s</x:v>
      </x:c>
      <x:c r="J35" s="27" t="str">
        <x:v>OPENING</x:v>
      </x:c>
      <x:c r="K35" s="27" t="str">
        <x:v>P08-S01-MEO-PRIMARY.REFERENCE.png|P08-S01-MEO-SECONDARY.REFERENCE.png|P08-S01-BO-FRONT.REFERENCE.jpg|P08-S01-BO-SIDE.REFERENCE.jpg</x:v>
      </x:c>
      <x:c r="L35" s="27" t="str">
        <x:v>P08-S01-I001-S1-05B-F01</x:v>
      </x:c>
      <x:c r="M35" s="28" t="str">
        <x:v>PASS</x:v>
      </x:c>
    </x:row>
    <x:row r="36" ht="72" customHeight="1">
      <x:c r="A36" s="61" t="n">
        <x:v>35</x:v>
      </x:c>
      <x:c r="B36" s="27" t="str">
        <x:v>P08-S01-I001-S1-05B-F02</x:v>
      </x:c>
      <x:c r="C36" s="27" t="str">
        <x:v>STORYBOARD</x:v>
      </x:c>
      <x:c r="D36" s="27" t="str">
        <x:v>I001-S1-05B</x:v>
      </x:c>
      <x:c r="E36" s="27" t="str">
        <x:v>5</x:v>
      </x:c>
      <x:c r="F36" s="27" t="str">
        <x:v>B</x:v>
      </x:c>
      <x:c r="G36" s="27" t="str">
        <x:v>Lối qua khóa kéo khổng lồ</x:v>
      </x:c>
      <x:c r="H36" s="27" t="str">
        <x:v>F02</x:v>
      </x:c>
      <x:c r="I36" s="27" t="str">
        <x:v>2-7s</x:v>
      </x:c>
      <x:c r="J36" s="27" t="str">
        <x:v>CAUSAL_ACTION</x:v>
      </x:c>
      <x:c r="K36" s="27" t="str">
        <x:v>P08-S01-MEO-PRIMARY.REFERENCE.png|P08-S01-MEO-SECONDARY.REFERENCE.png|P08-S01-BO-FRONT.REFERENCE.jpg|P08-S01-BO-SIDE.REFERENCE.jpg</x:v>
      </x:c>
      <x:c r="L36" s="27" t="str">
        <x:v>P08-S01-I001-S1-05B-F02</x:v>
      </x:c>
      <x:c r="M36" s="28" t="str">
        <x:v>PASS</x:v>
      </x:c>
    </x:row>
    <x:row r="37" ht="72" customHeight="1">
      <x:c r="A37" s="61" t="n">
        <x:v>36</x:v>
      </x:c>
      <x:c r="B37" s="27" t="str">
        <x:v>P08-S01-I001-S1-05B-F03</x:v>
      </x:c>
      <x:c r="C37" s="27" t="str">
        <x:v>STORYBOARD</x:v>
      </x:c>
      <x:c r="D37" s="27" t="str">
        <x:v>I001-S1-05B</x:v>
      </x:c>
      <x:c r="E37" s="27" t="str">
        <x:v>5</x:v>
      </x:c>
      <x:c r="F37" s="27" t="str">
        <x:v>B</x:v>
      </x:c>
      <x:c r="G37" s="27" t="str">
        <x:v>Lối qua khóa kéo khổng lồ</x:v>
      </x:c>
      <x:c r="H37" s="27" t="str">
        <x:v>F03</x:v>
      </x:c>
      <x:c r="I37" s="27" t="str">
        <x:v>7-10s</x:v>
      </x:c>
      <x:c r="J37" s="27" t="str">
        <x:v>CLOSING_STATE</x:v>
      </x:c>
      <x:c r="K37" s="27" t="str">
        <x:v>P08-S01-MEO-PRIMARY.REFERENCE.png|P08-S01-MEO-SECONDARY.REFERENCE.png|P08-S01-BO-FRONT.REFERENCE.jpg|P08-S01-BO-SIDE.REFERENCE.jpg</x:v>
      </x:c>
      <x:c r="L37" s="27" t="str">
        <x:v>P08-S01-I001-S1-05B-F03</x:v>
      </x:c>
      <x:c r="M37" s="28" t="str">
        <x:v>PASS</x:v>
      </x:c>
    </x:row>
    <x:row r="38" ht="72" customHeight="1">
      <x:c r="A38" s="61" t="n">
        <x:v>37</x:v>
      </x:c>
      <x:c r="B38" s="27" t="str">
        <x:v>P08-S01-I001-S1-06A-F01</x:v>
      </x:c>
      <x:c r="C38" s="27" t="str">
        <x:v>STORYBOARD</x:v>
      </x:c>
      <x:c r="D38" s="27" t="str">
        <x:v>I001-S1-06A</x:v>
      </x:c>
      <x:c r="E38" s="27" t="str">
        <x:v>6</x:v>
      </x:c>
      <x:c r="F38" s="27" t="str">
        <x:v>A</x:v>
      </x:c>
      <x:c r="G38" s="27" t="str">
        <x:v>Tháp cốc lồng</x:v>
      </x:c>
      <x:c r="H38" s="27" t="str">
        <x:v>F01</x:v>
      </x:c>
      <x:c r="I38" s="27" t="str">
        <x:v>0-2s</x:v>
      </x:c>
      <x:c r="J38" s="27" t="str">
        <x:v>OPENING</x:v>
      </x:c>
      <x:c r="K38" s="27" t="str">
        <x:v>P08-S01-MEO-PRIMARY.REFERENCE.png|P08-S01-MEO-SECONDARY.REFERENCE.png|P08-S01-BO-FRONT.REFERENCE.jpg|P08-S01-BO-SIDE.REFERENCE.jpg</x:v>
      </x:c>
      <x:c r="L38" s="27" t="str">
        <x:v>P08-S01-I001-S1-06A-F01</x:v>
      </x:c>
      <x:c r="M38" s="28" t="str">
        <x:v>PASS</x:v>
      </x:c>
    </x:row>
    <x:row r="39" ht="72" customHeight="1">
      <x:c r="A39" s="61" t="n">
        <x:v>38</x:v>
      </x:c>
      <x:c r="B39" s="27" t="str">
        <x:v>P08-S01-I001-S1-06A-F02</x:v>
      </x:c>
      <x:c r="C39" s="27" t="str">
        <x:v>STORYBOARD</x:v>
      </x:c>
      <x:c r="D39" s="27" t="str">
        <x:v>I001-S1-06A</x:v>
      </x:c>
      <x:c r="E39" s="27" t="str">
        <x:v>6</x:v>
      </x:c>
      <x:c r="F39" s="27" t="str">
        <x:v>A</x:v>
      </x:c>
      <x:c r="G39" s="27" t="str">
        <x:v>Tháp cốc lồng</x:v>
      </x:c>
      <x:c r="H39" s="27" t="str">
        <x:v>F02</x:v>
      </x:c>
      <x:c r="I39" s="27" t="str">
        <x:v>2-7s</x:v>
      </x:c>
      <x:c r="J39" s="27" t="str">
        <x:v>CAUSAL_ACTION</x:v>
      </x:c>
      <x:c r="K39" s="27" t="str">
        <x:v>P08-S01-MEO-PRIMARY.REFERENCE.png|P08-S01-MEO-SECONDARY.REFERENCE.png|P08-S01-BO-FRONT.REFERENCE.jpg|P08-S01-BO-SIDE.REFERENCE.jpg</x:v>
      </x:c>
      <x:c r="L39" s="27" t="str">
        <x:v>P08-S01-I001-S1-06A-F02</x:v>
      </x:c>
      <x:c r="M39" s="28" t="str">
        <x:v>PASS</x:v>
      </x:c>
    </x:row>
    <x:row r="40" ht="72" customHeight="1">
      <x:c r="A40" s="61" t="n">
        <x:v>39</x:v>
      </x:c>
      <x:c r="B40" s="27" t="str">
        <x:v>P08-S01-I001-S1-06A-F03</x:v>
      </x:c>
      <x:c r="C40" s="27" t="str">
        <x:v>STORYBOARD</x:v>
      </x:c>
      <x:c r="D40" s="27" t="str">
        <x:v>I001-S1-06A</x:v>
      </x:c>
      <x:c r="E40" s="27" t="str">
        <x:v>6</x:v>
      </x:c>
      <x:c r="F40" s="27" t="str">
        <x:v>A</x:v>
      </x:c>
      <x:c r="G40" s="27" t="str">
        <x:v>Tháp cốc lồng</x:v>
      </x:c>
      <x:c r="H40" s="27" t="str">
        <x:v>F03</x:v>
      </x:c>
      <x:c r="I40" s="27" t="str">
        <x:v>7-10s</x:v>
      </x:c>
      <x:c r="J40" s="27" t="str">
        <x:v>CLOSING_STATE</x:v>
      </x:c>
      <x:c r="K40" s="27" t="str">
        <x:v>P08-S01-MEO-PRIMARY.REFERENCE.png|P08-S01-MEO-SECONDARY.REFERENCE.png|P08-S01-BO-FRONT.REFERENCE.jpg|P08-S01-BO-SIDE.REFERENCE.jpg</x:v>
      </x:c>
      <x:c r="L40" s="27" t="str">
        <x:v>P08-S01-I001-S1-06A-F03</x:v>
      </x:c>
      <x:c r="M40" s="28" t="str">
        <x:v>PASS</x:v>
      </x:c>
    </x:row>
    <x:row r="41" ht="72" customHeight="1">
      <x:c r="A41" s="61" t="n">
        <x:v>40</x:v>
      </x:c>
      <x:c r="B41" s="27" t="str">
        <x:v>P08-S01-I001-S1-06B-F01</x:v>
      </x:c>
      <x:c r="C41" s="27" t="str">
        <x:v>STORYBOARD</x:v>
      </x:c>
      <x:c r="D41" s="27" t="str">
        <x:v>I001-S1-06B</x:v>
      </x:c>
      <x:c r="E41" s="27" t="str">
        <x:v>6</x:v>
      </x:c>
      <x:c r="F41" s="27" t="str">
        <x:v>B</x:v>
      </x:c>
      <x:c r="G41" s="27" t="str">
        <x:v>Tháp cốc lồng</x:v>
      </x:c>
      <x:c r="H41" s="27" t="str">
        <x:v>F01</x:v>
      </x:c>
      <x:c r="I41" s="27" t="str">
        <x:v>0-2s</x:v>
      </x:c>
      <x:c r="J41" s="27" t="str">
        <x:v>OPENING</x:v>
      </x:c>
      <x:c r="K41" s="27" t="str">
        <x:v>P08-S01-MEO-PRIMARY.REFERENCE.png|P08-S01-MEO-SECONDARY.REFERENCE.png|P08-S01-BO-FRONT.REFERENCE.jpg|P08-S01-BO-SIDE.REFERENCE.jpg</x:v>
      </x:c>
      <x:c r="L41" s="27" t="str">
        <x:v>P08-S01-I001-S1-06B-F01</x:v>
      </x:c>
      <x:c r="M41" s="28" t="str">
        <x:v>PASS</x:v>
      </x:c>
    </x:row>
    <x:row r="42" ht="72" customHeight="1">
      <x:c r="A42" s="61" t="n">
        <x:v>41</x:v>
      </x:c>
      <x:c r="B42" s="27" t="str">
        <x:v>P08-S01-I001-S1-06B-F02</x:v>
      </x:c>
      <x:c r="C42" s="27" t="str">
        <x:v>STORYBOARD</x:v>
      </x:c>
      <x:c r="D42" s="27" t="str">
        <x:v>I001-S1-06B</x:v>
      </x:c>
      <x:c r="E42" s="27" t="str">
        <x:v>6</x:v>
      </x:c>
      <x:c r="F42" s="27" t="str">
        <x:v>B</x:v>
      </x:c>
      <x:c r="G42" s="27" t="str">
        <x:v>Tháp cốc lồng</x:v>
      </x:c>
      <x:c r="H42" s="27" t="str">
        <x:v>F02</x:v>
      </x:c>
      <x:c r="I42" s="27" t="str">
        <x:v>2-7s</x:v>
      </x:c>
      <x:c r="J42" s="27" t="str">
        <x:v>CAUSAL_ACTION</x:v>
      </x:c>
      <x:c r="K42" s="27" t="str">
        <x:v>P08-S01-MEO-PRIMARY.REFERENCE.png|P08-S01-MEO-SECONDARY.REFERENCE.png|P08-S01-BO-FRONT.REFERENCE.jpg|P08-S01-BO-SIDE.REFERENCE.jpg</x:v>
      </x:c>
      <x:c r="L42" s="27" t="str">
        <x:v>P08-S01-I001-S1-06B-F02</x:v>
      </x:c>
      <x:c r="M42" s="28" t="str">
        <x:v>PASS</x:v>
      </x:c>
    </x:row>
    <x:row r="43" ht="72" customHeight="1">
      <x:c r="A43" s="61" t="n">
        <x:v>42</x:v>
      </x:c>
      <x:c r="B43" s="27" t="str">
        <x:v>P08-S01-I001-S1-06B-F03</x:v>
      </x:c>
      <x:c r="C43" s="27" t="str">
        <x:v>STORYBOARD</x:v>
      </x:c>
      <x:c r="D43" s="27" t="str">
        <x:v>I001-S1-06B</x:v>
      </x:c>
      <x:c r="E43" s="27" t="str">
        <x:v>6</x:v>
      </x:c>
      <x:c r="F43" s="27" t="str">
        <x:v>B</x:v>
      </x:c>
      <x:c r="G43" s="27" t="str">
        <x:v>Tháp cốc lồng</x:v>
      </x:c>
      <x:c r="H43" s="27" t="str">
        <x:v>F03</x:v>
      </x:c>
      <x:c r="I43" s="27" t="str">
        <x:v>7-10s</x:v>
      </x:c>
      <x:c r="J43" s="27" t="str">
        <x:v>CLOSING_STATE</x:v>
      </x:c>
      <x:c r="K43" s="27" t="str">
        <x:v>P08-S01-MEO-PRIMARY.REFERENCE.png|P08-S01-MEO-SECONDARY.REFERENCE.png|P08-S01-BO-FRONT.REFERENCE.jpg|P08-S01-BO-SIDE.REFERENCE.jpg</x:v>
      </x:c>
      <x:c r="L43" s="27" t="str">
        <x:v>P08-S01-I001-S1-06B-F03</x:v>
      </x:c>
      <x:c r="M43" s="28" t="str">
        <x:v>PASS</x:v>
      </x:c>
    </x:row>
    <x:row r="44" ht="72" customHeight="1">
      <x:c r="A44" s="61" t="n">
        <x:v>43</x:v>
      </x:c>
      <x:c r="B44" s="27" t="str">
        <x:v>P08-S01-I001-S1-07A-F01</x:v>
      </x:c>
      <x:c r="C44" s="27" t="str">
        <x:v>STORYBOARD</x:v>
      </x:c>
      <x:c r="D44" s="27" t="str">
        <x:v>I001-S1-07A</x:v>
      </x:c>
      <x:c r="E44" s="27" t="str">
        <x:v>7</x:v>
      </x:c>
      <x:c r="F44" s="27" t="str">
        <x:v>A</x:v>
      </x:c>
      <x:c r="G44" s="27" t="str">
        <x:v>Phím bàn phím khổng lồ</x:v>
      </x:c>
      <x:c r="H44" s="27" t="str">
        <x:v>F01</x:v>
      </x:c>
      <x:c r="I44" s="27" t="str">
        <x:v>0-2s</x:v>
      </x:c>
      <x:c r="J44" s="27" t="str">
        <x:v>OPENING</x:v>
      </x:c>
      <x:c r="K44" s="27" t="str">
        <x:v>P08-S01-MEO-PRIMARY.REFERENCE.png|P08-S01-MEO-SECONDARY.REFERENCE.png|P08-S01-BO-FRONT.REFERENCE.jpg|P08-S01-BO-SIDE.REFERENCE.jpg</x:v>
      </x:c>
      <x:c r="L44" s="27" t="str">
        <x:v>P08-S01-I001-S1-07A-F01</x:v>
      </x:c>
      <x:c r="M44" s="28" t="str">
        <x:v>PASS</x:v>
      </x:c>
    </x:row>
    <x:row r="45" ht="72" customHeight="1">
      <x:c r="A45" s="61" t="n">
        <x:v>44</x:v>
      </x:c>
      <x:c r="B45" s="27" t="str">
        <x:v>P08-S01-I001-S1-07A-F02</x:v>
      </x:c>
      <x:c r="C45" s="27" t="str">
        <x:v>STORYBOARD</x:v>
      </x:c>
      <x:c r="D45" s="27" t="str">
        <x:v>I001-S1-07A</x:v>
      </x:c>
      <x:c r="E45" s="27" t="str">
        <x:v>7</x:v>
      </x:c>
      <x:c r="F45" s="27" t="str">
        <x:v>A</x:v>
      </x:c>
      <x:c r="G45" s="27" t="str">
        <x:v>Phím bàn phím khổng lồ</x:v>
      </x:c>
      <x:c r="H45" s="27" t="str">
        <x:v>F02</x:v>
      </x:c>
      <x:c r="I45" s="27" t="str">
        <x:v>2-7s</x:v>
      </x:c>
      <x:c r="J45" s="27" t="str">
        <x:v>CAUSAL_ACTION</x:v>
      </x:c>
      <x:c r="K45" s="27" t="str">
        <x:v>P08-S01-MEO-PRIMARY.REFERENCE.png|P08-S01-MEO-SECONDARY.REFERENCE.png|P08-S01-BO-FRONT.REFERENCE.jpg|P08-S01-BO-SIDE.REFERENCE.jpg</x:v>
      </x:c>
      <x:c r="L45" s="27" t="str">
        <x:v>P08-S01-I001-S1-07A-F02</x:v>
      </x:c>
      <x:c r="M45" s="28" t="str">
        <x:v>PASS</x:v>
      </x:c>
    </x:row>
    <x:row r="46" ht="72" customHeight="1">
      <x:c r="A46" s="61" t="n">
        <x:v>45</x:v>
      </x:c>
      <x:c r="B46" s="27" t="str">
        <x:v>P08-S01-I001-S1-07A-F03</x:v>
      </x:c>
      <x:c r="C46" s="27" t="str">
        <x:v>STORYBOARD</x:v>
      </x:c>
      <x:c r="D46" s="27" t="str">
        <x:v>I001-S1-07A</x:v>
      </x:c>
      <x:c r="E46" s="27" t="str">
        <x:v>7</x:v>
      </x:c>
      <x:c r="F46" s="27" t="str">
        <x:v>A</x:v>
      </x:c>
      <x:c r="G46" s="27" t="str">
        <x:v>Phím bàn phím khổng lồ</x:v>
      </x:c>
      <x:c r="H46" s="27" t="str">
        <x:v>F03</x:v>
      </x:c>
      <x:c r="I46" s="27" t="str">
        <x:v>7-10s</x:v>
      </x:c>
      <x:c r="J46" s="27" t="str">
        <x:v>CLOSING_STATE</x:v>
      </x:c>
      <x:c r="K46" s="27" t="str">
        <x:v>P08-S01-MEO-PRIMARY.REFERENCE.png|P08-S01-MEO-SECONDARY.REFERENCE.png|P08-S01-BO-FRONT.REFERENCE.jpg|P08-S01-BO-SIDE.REFERENCE.jpg</x:v>
      </x:c>
      <x:c r="L46" s="27" t="str">
        <x:v>P08-S01-I001-S1-07A-F03</x:v>
      </x:c>
      <x:c r="M46" s="28" t="str">
        <x:v>PASS</x:v>
      </x:c>
    </x:row>
    <x:row r="47" ht="72" customHeight="1">
      <x:c r="A47" s="61" t="n">
        <x:v>46</x:v>
      </x:c>
      <x:c r="B47" s="27" t="str">
        <x:v>P08-S01-I001-S1-07B-F01</x:v>
      </x:c>
      <x:c r="C47" s="27" t="str">
        <x:v>STORYBOARD</x:v>
      </x:c>
      <x:c r="D47" s="27" t="str">
        <x:v>I001-S1-07B</x:v>
      </x:c>
      <x:c r="E47" s="27" t="str">
        <x:v>7</x:v>
      </x:c>
      <x:c r="F47" s="27" t="str">
        <x:v>B</x:v>
      </x:c>
      <x:c r="G47" s="27" t="str">
        <x:v>Phím bàn phím khổng lồ</x:v>
      </x:c>
      <x:c r="H47" s="27" t="str">
        <x:v>F01</x:v>
      </x:c>
      <x:c r="I47" s="27" t="str">
        <x:v>0-2s</x:v>
      </x:c>
      <x:c r="J47" s="27" t="str">
        <x:v>OPENING</x:v>
      </x:c>
      <x:c r="K47" s="27" t="str">
        <x:v>P08-S01-MEO-PRIMARY.REFERENCE.png|P08-S01-MEO-SECONDARY.REFERENCE.png|P08-S01-BO-FRONT.REFERENCE.jpg|P08-S01-BO-SIDE.REFERENCE.jpg</x:v>
      </x:c>
      <x:c r="L47" s="27" t="str">
        <x:v>P08-S01-I001-S1-07B-F01</x:v>
      </x:c>
      <x:c r="M47" s="28" t="str">
        <x:v>PASS</x:v>
      </x:c>
    </x:row>
    <x:row r="48" ht="72" customHeight="1">
      <x:c r="A48" s="61" t="n">
        <x:v>47</x:v>
      </x:c>
      <x:c r="B48" s="27" t="str">
        <x:v>P08-S01-I001-S1-07B-F02</x:v>
      </x:c>
      <x:c r="C48" s="27" t="str">
        <x:v>STORYBOARD</x:v>
      </x:c>
      <x:c r="D48" s="27" t="str">
        <x:v>I001-S1-07B</x:v>
      </x:c>
      <x:c r="E48" s="27" t="str">
        <x:v>7</x:v>
      </x:c>
      <x:c r="F48" s="27" t="str">
        <x:v>B</x:v>
      </x:c>
      <x:c r="G48" s="27" t="str">
        <x:v>Phím bàn phím khổng lồ</x:v>
      </x:c>
      <x:c r="H48" s="27" t="str">
        <x:v>F02</x:v>
      </x:c>
      <x:c r="I48" s="27" t="str">
        <x:v>2-7s</x:v>
      </x:c>
      <x:c r="J48" s="27" t="str">
        <x:v>CAUSAL_ACTION</x:v>
      </x:c>
      <x:c r="K48" s="27" t="str">
        <x:v>P08-S01-MEO-PRIMARY.REFERENCE.png|P08-S01-MEO-SECONDARY.REFERENCE.png|P08-S01-BO-FRONT.REFERENCE.jpg|P08-S01-BO-SIDE.REFERENCE.jpg</x:v>
      </x:c>
      <x:c r="L48" s="27" t="str">
        <x:v>P08-S01-I001-S1-07B-F02</x:v>
      </x:c>
      <x:c r="M48" s="28" t="str">
        <x:v>PASS</x:v>
      </x:c>
    </x:row>
    <x:row r="49" ht="72" customHeight="1">
      <x:c r="A49" s="61" t="n">
        <x:v>48</x:v>
      </x:c>
      <x:c r="B49" s="27" t="str">
        <x:v>P08-S01-I001-S1-07B-F03</x:v>
      </x:c>
      <x:c r="C49" s="27" t="str">
        <x:v>STORYBOARD</x:v>
      </x:c>
      <x:c r="D49" s="27" t="str">
        <x:v>I001-S1-07B</x:v>
      </x:c>
      <x:c r="E49" s="27" t="str">
        <x:v>7</x:v>
      </x:c>
      <x:c r="F49" s="27" t="str">
        <x:v>B</x:v>
      </x:c>
      <x:c r="G49" s="27" t="str">
        <x:v>Phím bàn phím khổng lồ</x:v>
      </x:c>
      <x:c r="H49" s="27" t="str">
        <x:v>F03</x:v>
      </x:c>
      <x:c r="I49" s="27" t="str">
        <x:v>7-10s</x:v>
      </x:c>
      <x:c r="J49" s="27" t="str">
        <x:v>CLOSING_STATE</x:v>
      </x:c>
      <x:c r="K49" s="27" t="str">
        <x:v>P08-S01-MEO-PRIMARY.REFERENCE.png|P08-S01-MEO-SECONDARY.REFERENCE.png|P08-S01-BO-FRONT.REFERENCE.jpg|P08-S01-BO-SIDE.REFERENCE.jpg</x:v>
      </x:c>
      <x:c r="L49" s="27" t="str">
        <x:v>P08-S01-I001-S1-07B-F03</x:v>
      </x:c>
      <x:c r="M49" s="28" t="str">
        <x:v>PASS</x:v>
      </x:c>
    </x:row>
    <x:row r="50" ht="72" customHeight="1">
      <x:c r="A50" s="61" t="n">
        <x:v>49</x:v>
      </x:c>
      <x:c r="B50" s="27" t="str">
        <x:v>P08-S01-I001-S1-08A-F01</x:v>
      </x:c>
      <x:c r="C50" s="27" t="str">
        <x:v>STORYBOARD</x:v>
      </x:c>
      <x:c r="D50" s="27" t="str">
        <x:v>I001-S1-08A</x:v>
      </x:c>
      <x:c r="E50" s="27" t="str">
        <x:v>8</x:v>
      </x:c>
      <x:c r="F50" s="27" t="str">
        <x:v>A</x:v>
      </x:c>
      <x:c r="G50" s="27" t="str">
        <x:v>Tàu đồ chơi nam châm</x:v>
      </x:c>
      <x:c r="H50" s="27" t="str">
        <x:v>F01</x:v>
      </x:c>
      <x:c r="I50" s="27" t="str">
        <x:v>0-2s</x:v>
      </x:c>
      <x:c r="J50" s="27" t="str">
        <x:v>OPENING</x:v>
      </x:c>
      <x:c r="K50" s="27" t="str">
        <x:v>P08-S01-MEO-PRIMARY.REFERENCE.png|P08-S01-MEO-SECONDARY.REFERENCE.png|P08-S01-BO-FRONT.REFERENCE.jpg|P08-S01-BO-SIDE.REFERENCE.jpg</x:v>
      </x:c>
      <x:c r="L50" s="27" t="str">
        <x:v>P08-S01-I001-S1-08A-F01</x:v>
      </x:c>
      <x:c r="M50" s="28" t="str">
        <x:v>PASS</x:v>
      </x:c>
    </x:row>
    <x:row r="51" ht="72" customHeight="1">
      <x:c r="A51" s="61" t="n">
        <x:v>50</x:v>
      </x:c>
      <x:c r="B51" s="27" t="str">
        <x:v>P08-S01-I001-S1-08A-F02</x:v>
      </x:c>
      <x:c r="C51" s="27" t="str">
        <x:v>STORYBOARD</x:v>
      </x:c>
      <x:c r="D51" s="27" t="str">
        <x:v>I001-S1-08A</x:v>
      </x:c>
      <x:c r="E51" s="27" t="str">
        <x:v>8</x:v>
      </x:c>
      <x:c r="F51" s="27" t="str">
        <x:v>A</x:v>
      </x:c>
      <x:c r="G51" s="27" t="str">
        <x:v>Tàu đồ chơi nam châm</x:v>
      </x:c>
      <x:c r="H51" s="27" t="str">
        <x:v>F02</x:v>
      </x:c>
      <x:c r="I51" s="27" t="str">
        <x:v>2-7s</x:v>
      </x:c>
      <x:c r="J51" s="27" t="str">
        <x:v>CAUSAL_ACTION</x:v>
      </x:c>
      <x:c r="K51" s="27" t="str">
        <x:v>P08-S01-MEO-PRIMARY.REFERENCE.png|P08-S01-MEO-SECONDARY.REFERENCE.png|P08-S01-BO-FRONT.REFERENCE.jpg|P08-S01-BO-SIDE.REFERENCE.jpg</x:v>
      </x:c>
      <x:c r="L51" s="27" t="str">
        <x:v>P08-S01-I001-S1-08A-F02</x:v>
      </x:c>
      <x:c r="M51" s="28" t="str">
        <x:v>PASS</x:v>
      </x:c>
    </x:row>
    <x:row r="52" ht="72" customHeight="1">
      <x:c r="A52" s="61" t="n">
        <x:v>51</x:v>
      </x:c>
      <x:c r="B52" s="27" t="str">
        <x:v>P08-S01-I001-S1-08A-F03</x:v>
      </x:c>
      <x:c r="C52" s="27" t="str">
        <x:v>STORYBOARD</x:v>
      </x:c>
      <x:c r="D52" s="27" t="str">
        <x:v>I001-S1-08A</x:v>
      </x:c>
      <x:c r="E52" s="27" t="str">
        <x:v>8</x:v>
      </x:c>
      <x:c r="F52" s="27" t="str">
        <x:v>A</x:v>
      </x:c>
      <x:c r="G52" s="27" t="str">
        <x:v>Tàu đồ chơi nam châm</x:v>
      </x:c>
      <x:c r="H52" s="27" t="str">
        <x:v>F03</x:v>
      </x:c>
      <x:c r="I52" s="27" t="str">
        <x:v>7-10s</x:v>
      </x:c>
      <x:c r="J52" s="27" t="str">
        <x:v>CLOSING_STATE</x:v>
      </x:c>
      <x:c r="K52" s="27" t="str">
        <x:v>P08-S01-MEO-PRIMARY.REFERENCE.png|P08-S01-MEO-SECONDARY.REFERENCE.png|P08-S01-BO-FRONT.REFERENCE.jpg|P08-S01-BO-SIDE.REFERENCE.jpg</x:v>
      </x:c>
      <x:c r="L52" s="27" t="str">
        <x:v>P08-S01-I001-S1-08A-F03</x:v>
      </x:c>
      <x:c r="M52" s="28" t="str">
        <x:v>PASS</x:v>
      </x:c>
    </x:row>
    <x:row r="53" ht="72" customHeight="1">
      <x:c r="A53" s="61" t="n">
        <x:v>52</x:v>
      </x:c>
      <x:c r="B53" s="27" t="str">
        <x:v>P08-S01-I001-S1-08B-F01</x:v>
      </x:c>
      <x:c r="C53" s="27" t="str">
        <x:v>STORYBOARD</x:v>
      </x:c>
      <x:c r="D53" s="27" t="str">
        <x:v>I001-S1-08B</x:v>
      </x:c>
      <x:c r="E53" s="27" t="str">
        <x:v>8</x:v>
      </x:c>
      <x:c r="F53" s="27" t="str">
        <x:v>B</x:v>
      </x:c>
      <x:c r="G53" s="27" t="str">
        <x:v>Tàu đồ chơi nam châm</x:v>
      </x:c>
      <x:c r="H53" s="27" t="str">
        <x:v>F01</x:v>
      </x:c>
      <x:c r="I53" s="27" t="str">
        <x:v>0-2s</x:v>
      </x:c>
      <x:c r="J53" s="27" t="str">
        <x:v>OPENING</x:v>
      </x:c>
      <x:c r="K53" s="27" t="str">
        <x:v>P08-S01-MEO-PRIMARY.REFERENCE.png|P08-S01-MEO-SECONDARY.REFERENCE.png|P08-S01-BO-FRONT.REFERENCE.jpg|P08-S01-BO-SIDE.REFERENCE.jpg</x:v>
      </x:c>
      <x:c r="L53" s="27" t="str">
        <x:v>P08-S01-I001-S1-08B-F01</x:v>
      </x:c>
      <x:c r="M53" s="28" t="str">
        <x:v>PASS</x:v>
      </x:c>
    </x:row>
    <x:row r="54" ht="72" customHeight="1">
      <x:c r="A54" s="61" t="n">
        <x:v>53</x:v>
      </x:c>
      <x:c r="B54" s="27" t="str">
        <x:v>P08-S01-I001-S1-08B-F02</x:v>
      </x:c>
      <x:c r="C54" s="27" t="str">
        <x:v>STORYBOARD</x:v>
      </x:c>
      <x:c r="D54" s="27" t="str">
        <x:v>I001-S1-08B</x:v>
      </x:c>
      <x:c r="E54" s="27" t="str">
        <x:v>8</x:v>
      </x:c>
      <x:c r="F54" s="27" t="str">
        <x:v>B</x:v>
      </x:c>
      <x:c r="G54" s="27" t="str">
        <x:v>Tàu đồ chơi nam châm</x:v>
      </x:c>
      <x:c r="H54" s="27" t="str">
        <x:v>F02</x:v>
      </x:c>
      <x:c r="I54" s="27" t="str">
        <x:v>2-7s</x:v>
      </x:c>
      <x:c r="J54" s="27" t="str">
        <x:v>CAUSAL_ACTION</x:v>
      </x:c>
      <x:c r="K54" s="27" t="str">
        <x:v>P08-S01-MEO-PRIMARY.REFERENCE.png|P08-S01-MEO-SECONDARY.REFERENCE.png|P08-S01-BO-FRONT.REFERENCE.jpg|P08-S01-BO-SIDE.REFERENCE.jpg</x:v>
      </x:c>
      <x:c r="L54" s="27" t="str">
        <x:v>P08-S01-I001-S1-08B-F02</x:v>
      </x:c>
      <x:c r="M54" s="28" t="str">
        <x:v>PASS</x:v>
      </x:c>
    </x:row>
    <x:row r="55" ht="72" customHeight="1">
      <x:c r="A55" s="61" t="n">
        <x:v>54</x:v>
      </x:c>
      <x:c r="B55" s="27" t="str">
        <x:v>P08-S01-I001-S1-08B-F03</x:v>
      </x:c>
      <x:c r="C55" s="27" t="str">
        <x:v>STORYBOARD</x:v>
      </x:c>
      <x:c r="D55" s="27" t="str">
        <x:v>I001-S1-08B</x:v>
      </x:c>
      <x:c r="E55" s="27" t="str">
        <x:v>8</x:v>
      </x:c>
      <x:c r="F55" s="27" t="str">
        <x:v>B</x:v>
      </x:c>
      <x:c r="G55" s="27" t="str">
        <x:v>Tàu đồ chơi nam châm</x:v>
      </x:c>
      <x:c r="H55" s="27" t="str">
        <x:v>F03</x:v>
      </x:c>
      <x:c r="I55" s="27" t="str">
        <x:v>7-10s</x:v>
      </x:c>
      <x:c r="J55" s="27" t="str">
        <x:v>CLOSING_STATE</x:v>
      </x:c>
      <x:c r="K55" s="27" t="str">
        <x:v>P08-S01-MEO-PRIMARY.REFERENCE.png|P08-S01-MEO-SECONDARY.REFERENCE.png|P08-S01-BO-FRONT.REFERENCE.jpg|P08-S01-BO-SIDE.REFERENCE.jpg</x:v>
      </x:c>
      <x:c r="L55" s="27" t="str">
        <x:v>P08-S01-I001-S1-08B-F03</x:v>
      </x:c>
      <x:c r="M55" s="28" t="str">
        <x:v>PASS</x:v>
      </x:c>
    </x:row>
    <x:row r="56" ht="72" customHeight="1">
      <x:c r="A56" s="61" t="n">
        <x:v>55</x:v>
      </x:c>
      <x:c r="B56" s="27" t="str">
        <x:v>P08-S01-I001-S1-09A-F01</x:v>
      </x:c>
      <x:c r="C56" s="27" t="str">
        <x:v>STORYBOARD</x:v>
      </x:c>
      <x:c r="D56" s="27" t="str">
        <x:v>I001-S1-09A</x:v>
      </x:c>
      <x:c r="E56" s="27" t="str">
        <x:v>9</x:v>
      </x:c>
      <x:c r="F56" s="27" t="str">
        <x:v>A</x:v>
      </x:c>
      <x:c r="G56" s="27" t="str">
        <x:v>Bông hoa lên dây cót</x:v>
      </x:c>
      <x:c r="H56" s="27" t="str">
        <x:v>F01</x:v>
      </x:c>
      <x:c r="I56" s="27" t="str">
        <x:v>0-2s</x:v>
      </x:c>
      <x:c r="J56" s="27" t="str">
        <x:v>OPENING</x:v>
      </x:c>
      <x:c r="K56" s="27" t="str">
        <x:v>P08-S01-MEO-PRIMARY.REFERENCE.png|P08-S01-MEO-SECONDARY.REFERENCE.png|P08-S01-BO-FRONT.REFERENCE.jpg|P08-S01-BO-SIDE.REFERENCE.jpg</x:v>
      </x:c>
      <x:c r="L56" s="27" t="str">
        <x:v>P08-S01-I001-S1-09A-F01</x:v>
      </x:c>
      <x:c r="M56" s="28" t="str">
        <x:v>PASS</x:v>
      </x:c>
    </x:row>
    <x:row r="57" ht="72" customHeight="1">
      <x:c r="A57" s="61" t="n">
        <x:v>56</x:v>
      </x:c>
      <x:c r="B57" s="27" t="str">
        <x:v>P08-S01-I001-S1-09A-F02</x:v>
      </x:c>
      <x:c r="C57" s="27" t="str">
        <x:v>STORYBOARD</x:v>
      </x:c>
      <x:c r="D57" s="27" t="str">
        <x:v>I001-S1-09A</x:v>
      </x:c>
      <x:c r="E57" s="27" t="str">
        <x:v>9</x:v>
      </x:c>
      <x:c r="F57" s="27" t="str">
        <x:v>A</x:v>
      </x:c>
      <x:c r="G57" s="27" t="str">
        <x:v>Bông hoa lên dây cót</x:v>
      </x:c>
      <x:c r="H57" s="27" t="str">
        <x:v>F02</x:v>
      </x:c>
      <x:c r="I57" s="27" t="str">
        <x:v>2-7s</x:v>
      </x:c>
      <x:c r="J57" s="27" t="str">
        <x:v>CAUSAL_ACTION</x:v>
      </x:c>
      <x:c r="K57" s="27" t="str">
        <x:v>P08-S01-MEO-PRIMARY.REFERENCE.png|P08-S01-MEO-SECONDARY.REFERENCE.png|P08-S01-BO-FRONT.REFERENCE.jpg|P08-S01-BO-SIDE.REFERENCE.jpg</x:v>
      </x:c>
      <x:c r="L57" s="27" t="str">
        <x:v>P08-S01-I001-S1-09A-F02</x:v>
      </x:c>
      <x:c r="M57" s="28" t="str">
        <x:v>PASS</x:v>
      </x:c>
    </x:row>
    <x:row r="58" ht="72" customHeight="1">
      <x:c r="A58" s="61" t="n">
        <x:v>57</x:v>
      </x:c>
      <x:c r="B58" s="27" t="str">
        <x:v>P08-S01-I001-S1-09A-F03</x:v>
      </x:c>
      <x:c r="C58" s="27" t="str">
        <x:v>STORYBOARD</x:v>
      </x:c>
      <x:c r="D58" s="27" t="str">
        <x:v>I001-S1-09A</x:v>
      </x:c>
      <x:c r="E58" s="27" t="str">
        <x:v>9</x:v>
      </x:c>
      <x:c r="F58" s="27" t="str">
        <x:v>A</x:v>
      </x:c>
      <x:c r="G58" s="27" t="str">
        <x:v>Bông hoa lên dây cót</x:v>
      </x:c>
      <x:c r="H58" s="27" t="str">
        <x:v>F03</x:v>
      </x:c>
      <x:c r="I58" s="27" t="str">
        <x:v>7-10s</x:v>
      </x:c>
      <x:c r="J58" s="27" t="str">
        <x:v>CLOSING_STATE</x:v>
      </x:c>
      <x:c r="K58" s="27" t="str">
        <x:v>P08-S01-MEO-PRIMARY.REFERENCE.png|P08-S01-MEO-SECONDARY.REFERENCE.png|P08-S01-BO-FRONT.REFERENCE.jpg|P08-S01-BO-SIDE.REFERENCE.jpg</x:v>
      </x:c>
      <x:c r="L58" s="27" t="str">
        <x:v>P08-S01-I001-S1-09A-F03</x:v>
      </x:c>
      <x:c r="M58" s="28" t="str">
        <x:v>PASS</x:v>
      </x:c>
    </x:row>
    <x:row r="59" ht="72" customHeight="1">
      <x:c r="A59" s="61" t="n">
        <x:v>58</x:v>
      </x:c>
      <x:c r="B59" s="27" t="str">
        <x:v>P08-S01-I001-S1-09B-F01</x:v>
      </x:c>
      <x:c r="C59" s="27" t="str">
        <x:v>STORYBOARD</x:v>
      </x:c>
      <x:c r="D59" s="27" t="str">
        <x:v>I001-S1-09B</x:v>
      </x:c>
      <x:c r="E59" s="27" t="str">
        <x:v>9</x:v>
      </x:c>
      <x:c r="F59" s="27" t="str">
        <x:v>B</x:v>
      </x:c>
      <x:c r="G59" s="27" t="str">
        <x:v>Bông hoa lên dây cót</x:v>
      </x:c>
      <x:c r="H59" s="27" t="str">
        <x:v>F01</x:v>
      </x:c>
      <x:c r="I59" s="27" t="str">
        <x:v>0-2s</x:v>
      </x:c>
      <x:c r="J59" s="27" t="str">
        <x:v>OPENING</x:v>
      </x:c>
      <x:c r="K59" s="27" t="str">
        <x:v>P08-S01-MEO-PRIMARY.REFERENCE.png|P08-S01-MEO-SECONDARY.REFERENCE.png|P08-S01-BO-FRONT.REFERENCE.jpg|P08-S01-BO-SIDE.REFERENCE.jpg</x:v>
      </x:c>
      <x:c r="L59" s="27" t="str">
        <x:v>P08-S01-I001-S1-09B-F01</x:v>
      </x:c>
      <x:c r="M59" s="28" t="str">
        <x:v>PASS</x:v>
      </x:c>
    </x:row>
    <x:row r="60" ht="72" customHeight="1">
      <x:c r="A60" s="61" t="n">
        <x:v>59</x:v>
      </x:c>
      <x:c r="B60" s="27" t="str">
        <x:v>P08-S01-I001-S1-09B-F02</x:v>
      </x:c>
      <x:c r="C60" s="27" t="str">
        <x:v>STORYBOARD</x:v>
      </x:c>
      <x:c r="D60" s="27" t="str">
        <x:v>I001-S1-09B</x:v>
      </x:c>
      <x:c r="E60" s="27" t="str">
        <x:v>9</x:v>
      </x:c>
      <x:c r="F60" s="27" t="str">
        <x:v>B</x:v>
      </x:c>
      <x:c r="G60" s="27" t="str">
        <x:v>Bông hoa lên dây cót</x:v>
      </x:c>
      <x:c r="H60" s="27" t="str">
        <x:v>F02</x:v>
      </x:c>
      <x:c r="I60" s="27" t="str">
        <x:v>2-7s</x:v>
      </x:c>
      <x:c r="J60" s="27" t="str">
        <x:v>CAUSAL_ACTION</x:v>
      </x:c>
      <x:c r="K60" s="27" t="str">
        <x:v>P08-S01-MEO-PRIMARY.REFERENCE.png|P08-S01-MEO-SECONDARY.REFERENCE.png|P08-S01-BO-FRONT.REFERENCE.jpg|P08-S01-BO-SIDE.REFERENCE.jpg</x:v>
      </x:c>
      <x:c r="L60" s="27" t="str">
        <x:v>P08-S01-I001-S1-09B-F02</x:v>
      </x:c>
      <x:c r="M60" s="28" t="str">
        <x:v>PASS</x:v>
      </x:c>
    </x:row>
    <x:row r="61" ht="72" customHeight="1">
      <x:c r="A61" s="61" t="n">
        <x:v>60</x:v>
      </x:c>
      <x:c r="B61" s="27" t="str">
        <x:v>P08-S01-I001-S1-09B-F03</x:v>
      </x:c>
      <x:c r="C61" s="27" t="str">
        <x:v>STORYBOARD</x:v>
      </x:c>
      <x:c r="D61" s="27" t="str">
        <x:v>I001-S1-09B</x:v>
      </x:c>
      <x:c r="E61" s="27" t="str">
        <x:v>9</x:v>
      </x:c>
      <x:c r="F61" s="27" t="str">
        <x:v>B</x:v>
      </x:c>
      <x:c r="G61" s="27" t="str">
        <x:v>Bông hoa lên dây cót</x:v>
      </x:c>
      <x:c r="H61" s="27" t="str">
        <x:v>F03</x:v>
      </x:c>
      <x:c r="I61" s="27" t="str">
        <x:v>7-10s</x:v>
      </x:c>
      <x:c r="J61" s="27" t="str">
        <x:v>CLOSING_STATE</x:v>
      </x:c>
      <x:c r="K61" s="27" t="str">
        <x:v>P08-S01-MEO-PRIMARY.REFERENCE.png|P08-S01-MEO-SECONDARY.REFERENCE.png|P08-S01-BO-FRONT.REFERENCE.jpg|P08-S01-BO-SIDE.REFERENCE.jpg</x:v>
      </x:c>
      <x:c r="L61" s="27" t="str">
        <x:v>P08-S01-I001-S1-09B-F03</x:v>
      </x:c>
      <x:c r="M61" s="28" t="str">
        <x:v>PASS</x:v>
      </x:c>
    </x:row>
    <x:row r="62" ht="72" customHeight="1">
      <x:c r="A62" s="61" t="n">
        <x:v>61</x:v>
      </x:c>
      <x:c r="B62" s="27" t="str">
        <x:v>P08-S01-I001-S1-10A-F01</x:v>
      </x:c>
      <x:c r="C62" s="27" t="str">
        <x:v>STORYBOARD</x:v>
      </x:c>
      <x:c r="D62" s="27" t="str">
        <x:v>I001-S1-10A</x:v>
      </x:c>
      <x:c r="E62" s="27" t="str">
        <x:v>10</x:v>
      </x:c>
      <x:c r="F62" s="27" t="str">
        <x:v>A</x:v>
      </x:c>
      <x:c r="G62" s="27" t="str">
        <x:v>Câu đố đường về nhà</x:v>
      </x:c>
      <x:c r="H62" s="27" t="str">
        <x:v>F01</x:v>
      </x:c>
      <x:c r="I62" s="27" t="str">
        <x:v>0-2s</x:v>
      </x:c>
      <x:c r="J62" s="27" t="str">
        <x:v>OPENING</x:v>
      </x:c>
      <x:c r="K62" s="27" t="str">
        <x:v>P08-S01-MEO-PRIMARY.REFERENCE.png|P08-S01-MEO-SECONDARY.REFERENCE.png|P08-S01-BO-FRONT.REFERENCE.jpg|P08-S01-BO-SIDE.REFERENCE.jpg</x:v>
      </x:c>
      <x:c r="L62" s="27" t="str">
        <x:v>P08-S01-I001-S1-10A-F01</x:v>
      </x:c>
      <x:c r="M62" s="28" t="str">
        <x:v>PASS</x:v>
      </x:c>
    </x:row>
    <x:row r="63" ht="72" customHeight="1">
      <x:c r="A63" s="61" t="n">
        <x:v>62</x:v>
      </x:c>
      <x:c r="B63" s="27" t="str">
        <x:v>P08-S01-I001-S1-10A-F02</x:v>
      </x:c>
      <x:c r="C63" s="27" t="str">
        <x:v>STORYBOARD</x:v>
      </x:c>
      <x:c r="D63" s="27" t="str">
        <x:v>I001-S1-10A</x:v>
      </x:c>
      <x:c r="E63" s="27" t="str">
        <x:v>10</x:v>
      </x:c>
      <x:c r="F63" s="27" t="str">
        <x:v>A</x:v>
      </x:c>
      <x:c r="G63" s="27" t="str">
        <x:v>Câu đố đường về nhà</x:v>
      </x:c>
      <x:c r="H63" s="27" t="str">
        <x:v>F02</x:v>
      </x:c>
      <x:c r="I63" s="27" t="str">
        <x:v>2-7s</x:v>
      </x:c>
      <x:c r="J63" s="27" t="str">
        <x:v>CAUSAL_ACTION</x:v>
      </x:c>
      <x:c r="K63" s="27" t="str">
        <x:v>P08-S01-MEO-PRIMARY.REFERENCE.png|P08-S01-MEO-SECONDARY.REFERENCE.png|P08-S01-BO-FRONT.REFERENCE.jpg|P08-S01-BO-SIDE.REFERENCE.jpg</x:v>
      </x:c>
      <x:c r="L63" s="27" t="str">
        <x:v>P08-S01-I001-S1-10A-F02</x:v>
      </x:c>
      <x:c r="M63" s="28" t="str">
        <x:v>PASS</x:v>
      </x:c>
    </x:row>
    <x:row r="64" ht="72" customHeight="1">
      <x:c r="A64" s="61" t="n">
        <x:v>63</x:v>
      </x:c>
      <x:c r="B64" s="27" t="str">
        <x:v>P08-S01-I001-S1-10A-F03</x:v>
      </x:c>
      <x:c r="C64" s="27" t="str">
        <x:v>STORYBOARD</x:v>
      </x:c>
      <x:c r="D64" s="27" t="str">
        <x:v>I001-S1-10A</x:v>
      </x:c>
      <x:c r="E64" s="27" t="str">
        <x:v>10</x:v>
      </x:c>
      <x:c r="F64" s="27" t="str">
        <x:v>A</x:v>
      </x:c>
      <x:c r="G64" s="27" t="str">
        <x:v>Câu đố đường về nhà</x:v>
      </x:c>
      <x:c r="H64" s="27" t="str">
        <x:v>F03</x:v>
      </x:c>
      <x:c r="I64" s="27" t="str">
        <x:v>7-10s</x:v>
      </x:c>
      <x:c r="J64" s="27" t="str">
        <x:v>CLOSING_STATE</x:v>
      </x:c>
      <x:c r="K64" s="27" t="str">
        <x:v>P08-S01-MEO-PRIMARY.REFERENCE.png|P08-S01-MEO-SECONDARY.REFERENCE.png|P08-S01-BO-FRONT.REFERENCE.jpg|P08-S01-BO-SIDE.REFERENCE.jpg</x:v>
      </x:c>
      <x:c r="L64" s="27" t="str">
        <x:v>P08-S01-I001-S1-10A-F03</x:v>
      </x:c>
      <x:c r="M64" s="28" t="str">
        <x:v>PASS</x:v>
      </x:c>
    </x:row>
    <x:row r="65" ht="72" customHeight="1">
      <x:c r="A65" s="61" t="n">
        <x:v>64</x:v>
      </x:c>
      <x:c r="B65" s="27" t="str">
        <x:v>P08-S01-I001-S1-10B-F01</x:v>
      </x:c>
      <x:c r="C65" s="27" t="str">
        <x:v>STORYBOARD</x:v>
      </x:c>
      <x:c r="D65" s="27" t="str">
        <x:v>I001-S1-10B</x:v>
      </x:c>
      <x:c r="E65" s="27" t="str">
        <x:v>10</x:v>
      </x:c>
      <x:c r="F65" s="27" t="str">
        <x:v>B</x:v>
      </x:c>
      <x:c r="G65" s="27" t="str">
        <x:v>Câu đố đường về nhà</x:v>
      </x:c>
      <x:c r="H65" s="27" t="str">
        <x:v>F01</x:v>
      </x:c>
      <x:c r="I65" s="27" t="str">
        <x:v>0-2s</x:v>
      </x:c>
      <x:c r="J65" s="27" t="str">
        <x:v>OPENING</x:v>
      </x:c>
      <x:c r="K65" s="27" t="str">
        <x:v>P08-S01-MEO-PRIMARY.REFERENCE.png|P08-S01-MEO-SECONDARY.REFERENCE.png|P08-S01-BO-FRONT.REFERENCE.jpg|P08-S01-BO-SIDE.REFERENCE.jpg</x:v>
      </x:c>
      <x:c r="L65" s="27" t="str">
        <x:v>P08-S01-I001-S1-10B-F01</x:v>
      </x:c>
      <x:c r="M65" s="28" t="str">
        <x:v>PASS</x:v>
      </x:c>
    </x:row>
    <x:row r="66" ht="72" customHeight="1">
      <x:c r="A66" s="61" t="n">
        <x:v>65</x:v>
      </x:c>
      <x:c r="B66" s="27" t="str">
        <x:v>P08-S01-I001-S1-10B-F02</x:v>
      </x:c>
      <x:c r="C66" s="27" t="str">
        <x:v>STORYBOARD</x:v>
      </x:c>
      <x:c r="D66" s="27" t="str">
        <x:v>I001-S1-10B</x:v>
      </x:c>
      <x:c r="E66" s="27" t="str">
        <x:v>10</x:v>
      </x:c>
      <x:c r="F66" s="27" t="str">
        <x:v>B</x:v>
      </x:c>
      <x:c r="G66" s="27" t="str">
        <x:v>Câu đố đường về nhà</x:v>
      </x:c>
      <x:c r="H66" s="27" t="str">
        <x:v>F02</x:v>
      </x:c>
      <x:c r="I66" s="27" t="str">
        <x:v>2-7s</x:v>
      </x:c>
      <x:c r="J66" s="27" t="str">
        <x:v>CAUSAL_ACTION</x:v>
      </x:c>
      <x:c r="K66" s="27" t="str">
        <x:v>P08-S01-MEO-PRIMARY.REFERENCE.png|P08-S01-MEO-SECONDARY.REFERENCE.png|P08-S01-BO-FRONT.REFERENCE.jpg|P08-S01-BO-SIDE.REFERENCE.jpg</x:v>
      </x:c>
      <x:c r="L66" s="27" t="str">
        <x:v>P08-S01-I001-S1-10B-F02</x:v>
      </x:c>
      <x:c r="M66" s="28" t="str">
        <x:v>PASS</x:v>
      </x:c>
    </x:row>
    <x:row r="67" ht="72" customHeight="1">
      <x:c r="A67" s="62" t="n">
        <x:v>66</x:v>
      </x:c>
      <x:c r="B67" s="31" t="str">
        <x:v>P08-S01-I001-S1-10B-F03</x:v>
      </x:c>
      <x:c r="C67" s="31" t="str">
        <x:v>STORYBOARD</x:v>
      </x:c>
      <x:c r="D67" s="31" t="str">
        <x:v>I001-S1-10B</x:v>
      </x:c>
      <x:c r="E67" s="31" t="str">
        <x:v>10</x:v>
      </x:c>
      <x:c r="F67" s="31" t="str">
        <x:v>B</x:v>
      </x:c>
      <x:c r="G67" s="31" t="str">
        <x:v>Câu đố đường về nhà</x:v>
      </x:c>
      <x:c r="H67" s="31" t="str">
        <x:v>F03</x:v>
      </x:c>
      <x:c r="I67" s="31" t="str">
        <x:v>7-10s</x:v>
      </x:c>
      <x:c r="J67" s="31" t="str">
        <x:v>CLOSING_STATE</x:v>
      </x:c>
      <x:c r="K67" s="31" t="str">
        <x:v>P08-S01-MEO-PRIMARY.REFERENCE.png|P08-S01-MEO-SECONDARY.REFERENCE.png|P08-S01-BO-FRONT.REFERENCE.jpg|P08-S01-BO-SIDE.REFERENCE.jpg</x:v>
      </x:c>
      <x:c r="L67" s="31" t="str">
        <x:v>P08-S01-I001-S1-10B-F03</x:v>
      </x:c>
      <x:c r="M67" s="32" t="str">
        <x:v>PASS</x:v>
      </x:c>
    </x:row>
  </x:sheetData>
  <x:pageMargins left="0.7" right="0.7" top="0.75" bottom="0.75" header="0.3" footer="0.3"/>
  <x:tableParts count="1">
    <x:tablePart xmlns:r="http://schemas.openxmlformats.org/officeDocument/2006/relationships" r:id="R8310e1a84a7743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18" hidden="0" customWidth="1"/>
    <x:col min="4" max="4" width="18" hidden="0" customWidth="1"/>
    <x:col min="5" max="5" width="18" hidden="0" customWidth="1"/>
    <x:col min="6" max="6" width="38" hidden="0" customWidth="1"/>
    <x:col min="7" max="7" width="110" hidden="0" customWidth="1"/>
    <x:col min="8" max="8" width="18" hidden="0" customWidth="1"/>
    <x:col min="9" max="9" width="1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4" t="str">
        <x:v>Video ID</x:v>
      </x:c>
      <x:c r="B1" s="65" t="str">
        <x:v>Idea ID</x:v>
      </x:c>
      <x:c r="C1" s="65" t="str">
        <x:v>Season</x:v>
      </x:c>
      <x:c r="D1" s="65" t="str">
        <x:v>Story #</x:v>
      </x:c>
      <x:c r="E1" s="65" t="str">
        <x:v>Phần</x:v>
      </x:c>
      <x:c r="F1" s="65" t="str">
        <x:v>Tiêu đề story</x:v>
      </x:c>
      <x:c r="G1" s="65" t="str">
        <x:v>Prompt 10s — Copy vào Google Flow (GIỮ TIẾNG ANH)</x:v>
      </x:c>
      <x:c r="H1" s="65" t="str">
        <x:v>Mục tiêu phát triển</x:v>
      </x:c>
      <x:c r="I1" s="65" t="str">
        <x:v>Mục tiêu cảm xúc</x:v>
      </x:c>
      <x:c r="J1" s="65" t="str">
        <x:v>Bối cảnh</x:v>
      </x:c>
      <x:c r="K1" s="65" t="str">
        <x:v>Trạng thái mở đầu</x:v>
      </x:c>
      <x:c r="L1" s="65" t="str">
        <x:v>Sự kiện chính</x:v>
      </x:c>
      <x:c r="M1" s="65" t="str">
        <x:v>Hành động của Meo</x:v>
      </x:c>
      <x:c r="N1" s="65" t="str">
        <x:v>Hành động của Bố</x:v>
      </x:c>
      <x:c r="O1" s="65" t="str">
        <x:v>Trạng thái kết thúc</x:v>
      </x:c>
      <x:c r="P1" s="65" t="str">
        <x:v>Camera</x:v>
      </x:c>
      <x:c r="Q1" s="65" t="str">
        <x:v>Vật lý / Cơ chế</x:v>
      </x:c>
      <x:c r="R1" s="65" t="str">
        <x:v>Lời thoại</x:v>
      </x:c>
      <x:c r="S1" s="65" t="str">
        <x:v>Âm thanh</x:v>
      </x:c>
      <x:c r="T1" s="65" t="str">
        <x:v>Audit story</x:v>
      </x:c>
      <x:c r="U1" s="65" t="str">
        <x:v>Audit prompt</x:v>
      </x:c>
      <x:c r="V1" s="65" t="str">
        <x:v>Ghi chú QC</x:v>
      </x:c>
      <x:c r="W1" s="66" t="str">
        <x:v>Trạng thái</x:v>
      </x:c>
    </x:row>
    <x:row r="2" ht="330" customHeight="1">
      <x:c r="A2" s="61" t="str">
        <x:v>I001-S1-01A</x:v>
      </x:c>
      <x:c r="B2" s="27" t="str">
        <x:v>I-001</x:v>
      </x:c>
      <x:c r="C2" s="27" t="str">
        <x:v>Season 1</x:v>
      </x:c>
      <x:c r="D2" s="27" t="str">
        <x:v>1</x:v>
      </x:c>
      <x:c r="E2" s="27" t="str">
        <x:v>A</x:v>
      </x:c>
      <x:c r="F2" s="27" t="str">
        <x:v>Cánh cửa tí hon</x:v>
      </x:c>
      <x:c r="G2"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tracking shot following Meo and Bố toward a tiny rounded door beneath a toy planter. No cuts.
Setting: an ordinary playroom becomes enormous beyond the doorway. Giant wooden blocks, thick carpet fibers, a towering flower stem and a distant friendly ladybug establish miniature scale. The ladybug stays far away.
0–2s: Bố kneels beside the padded door and pulls its soft frame handle. The door opens halfway, revealing the giant-scale world.
2–7s: the door stops because a loose felt fiber loop is wrapped around the lower hinge tab. Bố keeps the frame steady and tests the handle; the loop tightens when he pulls farther. Meo notices the fiber becomes slack when Bố eases the door back slightly. She points from the hinge tab to the loose side of the loop.
7–9s: Meo touches the safe fabric loop and traces the direction it could slide free. Bố holds the door at the slack position.
9–10s: the doorway remains half open, with the loop still caught but visibly loose. The enormous flower stem and toy blocks wait beyond. End unresolved.
Physics: pulling the door tightens the loop around the hinge tab; easing the frame backward reduces tension and creates slack that can slip free.
Audio: soft door creak, fabric rustle, quiet playroom ambience, distant tiny chimes. No dialogue.
Constraints: preserve identity, age and clothing; stable floor; soft toy-scale materials only; distant non-threatening insect only; no climbing, falls, fear reaction, extra characters, dangerous motion, cuts or text.</x:v>
      </x:c>
      <x:c r="H2" s="27" t="str">
        <x:v>Quan sát + suy luận nhân quả về độ căng của vòng dây</x:v>
      </x:c>
      <x:c r="I2" s="27" t="str">
        <x:v>Từ ngạc nhiên chuyển thành tò mò tập trung</x:v>
      </x:c>
      <x:c r="J2" s="27" t="str">
        <x:v>Cánh cửa tròn nhỏ mở từ phòng chơi bình thường vào một thế giới tí hon có quy mô khổng lồ</x:v>
      </x:c>
      <x:c r="K2" s="27" t="str">
        <x:v>Cửa đệm hé nửa dưới chậu đồ chơi; vòng sợi nỉ mắc ở bản lề; Bố giữ tay nắm khung; Meo đứng cạnh vòng dây</x:v>
      </x:c>
      <x:c r="L2" s="27" t="str">
        <x:v>Kéo cửa làm vòng nỉ siết quanh bản lề; nới cửa ra tạo độ chùng nhìn thấy rõ</x:v>
      </x:c>
      <x:c r="M2" s="27" t="str">
        <x:v>Quan sát vòng dây căng/chùng, lần theo phía chùng và xác định hướng tháo</x:v>
      </x:c>
      <x:c r="N2" s="27" t="str">
        <x:v>Mở cửa, nới ngược lại và giữ khung cửa đệm đúng vị trí tạo độ chùng</x:v>
      </x:c>
      <x:c r="O2" s="27" t="str">
        <x:v>Cửa vẫn hé nửa; vòng nỉ còn mắc nhưng đã chùng; thấy hoa và khối đồ chơi khổng lồ phía sau; chưa giải quyết</x:v>
      </x:c>
      <x:c r="P2" s="27" t="str">
        <x:v>Tracking góc thấp, medium-wide hướng về cánh cửa nhỏ; không cắt cảnh</x:v>
      </x:c>
      <x:c r="Q2" s="27" t="str">
        <x:v>Kéo cửa làm vòng dây siết quanh chốt bản lề; nới ngược lại làm giảm lực căng và tạo độ chùng</x:v>
      </x:c>
      <x:c r="R2" s="27" t="str">
        <x:v>Không thoại</x:v>
      </x:c>
      <x:c r="S2" s="27" t="str">
        <x:v>Tiếng cửa kẽo kẹt nhẹ; sợi vải xào xạc; ambience phòng chơi yên tĩnh; chuông tí hon xa xa</x:v>
      </x:c>
      <x:c r="T2" s="27" t="str">
        <x:v>PASS — G-010/G-011/G-012/G-020/G-034/G-036/G-120; Tiny World scale reveal is central, Bố indispensable, loop-tension clue visible, child-safe, unresolved Part A.</x:v>
      </x:c>
      <x:c r="U2" s="27" t="str">
        <x:v>PASS — G-002/G-003/G-030/G-031/G-037/G-040/G-050/G-051/G-060/G-070/G-090/G-150/G-160/G-161/G-162/G-163/G-164; 316 words; zero at-sign characters.</x:v>
      </x:c>
      <x:c r="V2" s="27" t="str">
        <x:v>AI text audit only; visual/render audit not yet performed. USER APPROVAL pending.</x:v>
      </x:c>
      <x:c r="W2" s="28" t="str">
        <x:v>AI AUDITED</x:v>
      </x:c>
    </x:row>
    <x:row r="3" ht="330" customHeight="1">
      <x:c r="A3" s="61" t="str">
        <x:v>I001-S1-01B</x:v>
      </x:c>
      <x:c r="B3" s="27" t="str">
        <x:v>I-001</x:v>
      </x:c>
      <x:c r="C3" s="27" t="str">
        <x:v>Season 1</x:v>
      </x:c>
      <x:c r="D3" s="27" t="str">
        <x:v>1</x:v>
      </x:c>
      <x:c r="E3" s="27" t="str">
        <x:v>B</x:v>
      </x:c>
      <x:c r="F3" s="27" t="str">
        <x:v>Cánh cửa tí hon</x:v>
      </x:c>
      <x:c r="G3" s="27"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medium-wide continuity shot from the same low angle, keeping the half-open door, loose felt loop and giant world visible. No cuts.
Setting and opening state: the padded door is half open beneath the toy planter. A felt loop remains caught around the lower hinge tab but is slack. Bố holds the frame eased back. Meo stands beside it.
0–2s: Meo points along the slack side of the fiber. Bố keeps the door still so the loop stays loose.
2–7s: Meo slides the soft loop sideways over the rounded hinge tab. When it clears, she signals Bố. He slowly pulls the frame handle, opening the door fully. The giant playroom appears: carpet fibers like grass, wooden blocks like buildings, a tall flower stem and a distant friendly ladybug resting on a leaf.
7–9s: Bố seats the door handle into a padded wall catch so the doorway stays safely open. Meo stands beside him, looking across the miniature world.
9–10s: light fills the doorway. Meo says in Vietnamese, with a delighted five-year-old voice: “Bố ơi, mọi thứ khổng lồ hết rồi!” Keep the exact wording; do not translate it.
Physics: removing the slack loop frees the hinge; with no fiber catching the tab, the door rotates smoothly through its full arc.
Audio: soft fabric slide, gentle door creak, wall-catch click, tiny-world chimes, short dialogue.
Constraints: exact A-to-B continuity; preserve identity, age and clothing; stable floor; soft toy-scale materials only; distant non-threatening insect only; no climbing, falls, fear reaction, extra characters, dangerous motion, cuts or text.</x:v>
      </x:c>
      <x:c r="H3" s="27" t="str">
        <x:v>Quan sát + suy luận nhân quả về độ căng của vòng dây</x:v>
      </x:c>
      <x:c r="I3" s="27" t="str">
        <x:v>Niềm vui khi cùng bước vào thế giới tí hon</x:v>
      </x:c>
      <x:c r="J3" s="27" t="str">
        <x:v>Cùng cánh cửa nhỏ đang hé, phía sau là phòng chơi quy mô khổng lồ</x:v>
      </x:c>
      <x:c r="K3" s="27" t="str">
        <x:v>Cửa hé nửa; vòng nỉ chùng quanh chốt bản lề; Bố giữ khung ở vị trí đã nới; Meo đứng cạnh vòng dây</x:v>
      </x:c>
      <x:c r="L3" s="27" t="str">
        <x:v>Meo tháo vòng dây chùng trong khi Bố giữ và sau đó mở cửa hoàn toàn, hé lộ Tiny World</x:v>
      </x:c>
      <x:c r="M3" s="27" t="str">
        <x:v>Trượt vòng dây mềm qua chốt tròn, ra hiệu cho Bố và quan sát toàn cảnh quy mô khổng lồ</x:v>
      </x:c>
      <x:c r="N3" s="27" t="str">
        <x:v>Giữ cửa ở trạng thái chùng, mở hoàn toàn và khóa tay nắm vào chốt đệm trên tường</x:v>
      </x:c>
      <x:c r="O3" s="27" t="str">
        <x:v>Cửa mở hoàn toàn; sợi thảm, khối đồ chơi và thân hoa khổng lồ hiện ra; kết thúc ấm áp</x:v>
      </x:c>
      <x:c r="P3" s="27" t="str">
        <x:v>Cùng góc thấp medium-wide để giữ continuity; không cắt cảnh</x:v>
      </x:c>
      <x:c r="Q3" s="27" t="str">
        <x:v>Tháo vòng dây chùng giải phóng bản lề, cho phép cửa đệm xoay trơn tru hết hành trình</x:v>
      </x:c>
      <x:c r="R3" s="27" t="str">
        <x:v>Meo: “Bố ơi, mọi thứ khổng lồ hết rồi!”</x:v>
      </x:c>
      <x:c r="S3" s="27" t="str">
        <x:v>Tiếng sợi vải trượt; cửa kẽo kẹt nhẹ; tiếng chốt tường; chuông Tiny World; thoại ngắn</x:v>
      </x:c>
      <x:c r="T3" s="27" t="str">
        <x:v>PASS — G-010/G-011/G-012/G-020/G-034/G-036/G-120; exact A→B handoff, Bố indispensable, Meo uses the visible slack-loop clue to open the canonical Tiny World safely.</x:v>
      </x:c>
      <x:c r="U3" s="27" t="str">
        <x:v>PASS — G-002/G-003/G-030/G-031/G-037/G-040/G-050/G-051/G-060/G-070/G-080/G-081/G-090/G-150/G-160/G-161/G-162/G-163/G-164; 320 words; zero at-sign characters.</x:v>
      </x:c>
      <x:c r="V3" s="27" t="str">
        <x:v>AI text audit only; visual/render audit not yet performed. USER APPROVAL pending.</x:v>
      </x:c>
      <x:c r="W3" s="28" t="str">
        <x:v>AI AUDITED</x:v>
      </x:c>
    </x:row>
    <x:row r="4" ht="330" customHeight="1">
      <x:c r="A4" s="61" t="str">
        <x:v>I001-S1-02A</x:v>
      </x:c>
      <x:c r="B4" s="27" t="str">
        <x:v>I-001</x:v>
      </x:c>
      <x:c r="C4" s="27" t="str">
        <x:v>Season 1</x:v>
      </x:c>
      <x:c r="D4" s="27" t="str">
        <x:v>2</x:v>
      </x:c>
      <x:c r="E4" s="27" t="str">
        <x:v>A</x:v>
      </x:c>
      <x:c r="F4" s="27" t="str">
        <x:v>Thấu kính giọt sương</x:v>
      </x:c>
      <x:c r="G4"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tracking shot at miniature ground level beside a giant green leaf. No cuts.
Setting: Meo and Bố are inside the Tiny World. Carpet fibers rise like grass. A giant leaf forms a gentle canopy. A clear round dewdrop rests on the leaf edge above a flat toy-path, magnifying and shifting the view of a red wooden block landmark beyond it.
0–2s: Bố holds a padded leaf-stem handle and gently changes the leaf angle a few degrees. The dewdrop stays attached while the view through it moves.
2–7s: Meo looks toward the red block through the dewdrop and sees it appear shifted sideways and enlarged. When Bố eases the leaf back, the apparent block position shifts again even though the real block does not move. Meo compares the direct view beside the dewdrop with the distorted view through it.
7–9s: Meo points to the real block, then to its displaced image inside the dewdrop. She signals Bố toward the small leaf-angle marks.
9–10s: the dewdrop still sits across their sightline, and the landmark remains visually displaced through it. End unresolved.
Physics: the curved dewdrop refracts light, making the landmark appear shifted and enlarged; changing the leaf angle changes the viewing path through the drop.
Audio: soft leaf flex, faint water shimmer, gentle tiny-world ambience. No dialogue.
Constraints: preserve identity, age and clothing; dewdrop remains attached to the leaf and away from faces; stable dry path; no slipping, falling water, insects approaching, extra characters, dangerous motion, cuts or text.</x:v>
      </x:c>
      <x:c r="H4" s="27" t="str">
        <x:v>Khúc xạ + quan sát theo góc nhìn</x:v>
      </x:c>
      <x:c r="I4" s="27" t="str">
        <x:v>Tò mò chuyển thành so sánh hình ảnh cẩn thận</x:v>
      </x:c>
      <x:c r="J4" s="27" t="str">
        <x:v>Lối đi tí hon dưới một chiếc lá khổng lồ trong Tiny World</x:v>
      </x:c>
      <x:c r="K4" s="27" t="str">
        <x:v>Giọt sương lớn bám ở mép lá chắn ngang tầm nhìn; khối gỗ đỏ làm mốc phía sau; Bố ở tay nắm cuống lá; Meo đứng cạnh lá</x:v>
      </x:c>
      <x:c r="L4" s="27" t="str">
        <x:v>Giọt sương phóng đại và làm lệch vị trí biểu kiến của mốc; đổi góc lá làm thay đổi mức biến dạng</x:v>
      </x:c>
      <x:c r="M4" s="27" t="str">
        <x:v>So sánh góc nhìn trực tiếp và qua khúc xạ, rồi xác định giọt sương cùng góc lá là nguyên nhân</x:v>
      </x:c>
      <x:c r="N4" s="27" t="str">
        <x:v>Giữ và điều chỉnh tay nắm cuống lá qua các góc nhỏ, an toàn để so sánh</x:v>
      </x:c>
      <x:c r="O4" s="27" t="str">
        <x:v>Giọt sương vẫn chắn tầm nhìn; mốc đỏ vẫn bị lệch khi nhìn qua nó; chưa giải quyết</x:v>
      </x:c>
      <x:c r="P4" s="27" t="str">
        <x:v>Tracking ngang medium-wide ở tầm đất tí hon; không cắt cảnh</x:v>
      </x:c>
      <x:c r="Q4" s="27" t="str">
        <x:v>Giọt sương cong khúc xạ ánh sáng, làm mốc trông lệch và lớn hơn; đổi góc lá làm đổi đường nhìn qua giọt sương</x:v>
      </x:c>
      <x:c r="R4" s="27" t="str">
        <x:v>Không thoại</x:v>
      </x:c>
      <x:c r="S4" s="27" t="str">
        <x:v>Tiếng lá uốn nhẹ; nước rung rất khẽ; ambience Tiny World</x:v>
      </x:c>
      <x:c r="T4" s="27" t="str">
        <x:v>PASS — G-010/G-011/G-012/G-020/G-034/G-036/G-120; Tiny World scale remains central, Bố indispensable, refraction clue is visible, child-safe, unresolved Part A.</x:v>
      </x:c>
      <x:c r="U4" s="27" t="str">
        <x:v>PASS — G-002/G-003/G-030/G-031/G-037/G-040/G-050/G-051/G-060/G-070/G-090/G-150/G-160/G-161/G-162/G-163/G-164; 320 words; zero at-sign characters.</x:v>
      </x:c>
      <x:c r="V4" s="27" t="str">
        <x:v>AI text audit only; visual/render audit not yet performed. USER APPROVAL pending.</x:v>
      </x:c>
      <x:c r="W4" s="28" t="str">
        <x:v>AI AUDITED</x:v>
      </x:c>
    </x:row>
    <x:row r="5" ht="330" customHeight="1">
      <x:c r="A5" s="61" t="str">
        <x:v>I001-S1-02B</x:v>
      </x:c>
      <x:c r="B5" s="27" t="str">
        <x:v>I-001</x:v>
      </x:c>
      <x:c r="C5" s="27" t="str">
        <x:v>Season 1</x:v>
      </x:c>
      <x:c r="D5" s="27" t="str">
        <x:v>2</x:v>
      </x:c>
      <x:c r="E5" s="27" t="str">
        <x:v>B</x:v>
      </x:c>
      <x:c r="F5" s="27" t="str">
        <x:v>Thấu kính giọt sương</x:v>
      </x:c>
      <x:c r="G5" s="27"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medium-wide continuity shot from the same miniature path side, keeping the giant leaf, dewdrop, red block and stem handle visible. No cuts.
Setting and opening state: the dewdrop remains on the leaf across their sightline. The red wooden block looks displaced and enlarged through the drop. Bố holds the padded stem handle. Meo stands beside angle marks.
0–2s: Meo points to the direct view of the block, then signals Bố to tilt the leaf slowly away from their sightline.
2–7s: Bố lowers the handle through the safe arc. The leaf rotates gently, carrying the attached dewdrop sideways. Meo watches the distorted image slide away from the real block until the path can be seen directly without looking through the drop. The dewdrop stays on the leaf.
7–9s: Meo signals stop when the landmark and path are clear. Bố locks the stem handle into a padded notch.
9–10s: the path is clear beneath the leaf. Meo says in Vietnamese, with a pleased five-year-old voice: “Bố ơi, giờ con nhìn rõ rồi!” Keep the exact wording; do not translate it.
Physics: changing the leaf angle moves the curved dewdrop out of the viewing line; without refracted light passing through it, the landmark appears in its true position.
Audio: soft leaf flex, faint water shimmer, notch click, tiny-world ambience, short dialogue.
Constraints: exact A-to-B continuity; preserve identity, age and clothing; dewdrop stays attached and away from faces; stable dry path; no slipping, falling water, insects approaching, extra characters, dangerous motion, cuts or text.</x:v>
      </x:c>
      <x:c r="H5" s="27" t="str">
        <x:v>Khúc xạ + quan sát theo góc nhìn</x:v>
      </x:c>
      <x:c r="I5" s="27" t="str">
        <x:v>Thỏa mãn khi cùng nhau làm rõ một hình ảnh gây nhầm lẫn</x:v>
      </x:c>
      <x:c r="J5" s="27" t="str">
        <x:v>Cùng lối đi tí hon dưới chiếc lá khổng lồ trong Tiny World</x:v>
      </x:c>
      <x:c r="K5" s="27" t="str">
        <x:v>Giọt sương vẫn nằm trên đường nhìn; khối đỏ trông bị lệch; Bố giữ tay nắm cuống lá; Meo đứng cạnh các dấu góc</x:v>
      </x:c>
      <x:c r="L5" s="27" t="str">
        <x:v>Meo hướng dẫn Bố nghiêng lá cho đến khi giọt sương ra khỏi đường nhìn và lối đi thật hiện rõ</x:v>
      </x:c>
      <x:c r="M5" s="27" t="str">
        <x:v>Theo dõi vị trí mốc trực tiếp so với vị trí khúc xạ và ra hiệu đúng điểm dừng</x:v>
      </x:c>
      <x:c r="N5" s="27" t="str">
        <x:v>Hạ tay nắm cuống lá theo cung an toàn và khóa vào rãnh đệm</x:v>
      </x:c>
      <x:c r="O5" s="27" t="str">
        <x:v>Giọt sương vẫn an toàn trên lá nhưng ngoài đường nhìn; mốc và lối đi rõ ràng; kết thúc tích cực</x:v>
      </x:c>
      <x:c r="P5" s="27" t="str">
        <x:v>Cùng phía, medium-wide để giữ continuity; không cắt cảnh</x:v>
      </x:c>
      <x:c r="Q5" s="27" t="str">
        <x:v>Đưa giọt sương ra khỏi đường nhìn loại bỏ ảnh khúc xạ, nên mốc trở về đúng vị trí thật</x:v>
      </x:c>
      <x:c r="R5" s="27" t="str">
        <x:v>Meo: “Bố ơi, giờ con nhìn rõ rồi!”</x:v>
      </x:c>
      <x:c r="S5" s="27" t="str">
        <x:v>Tiếng lá uốn nhẹ; nước rung khẽ; tiếng khóa rãnh; ambience Tiny World; thoại ngắn</x:v>
      </x:c>
      <x:c r="T5" s="27" t="str">
        <x:v>PASS — G-010/G-011/G-012/G-020/G-034/G-036/G-120; exact A→B handoff, Bố indispensable, Meo uses the refraction clue to restore a clear view cooperatively.</x:v>
      </x:c>
      <x:c r="U5" s="27" t="str">
        <x:v>PASS — G-002/G-003/G-030/G-031/G-037/G-040/G-050/G-051/G-060/G-070/G-080/G-081/G-090/G-150/G-160/G-161/G-162/G-163/G-164; 320 words; zero at-sign characters.</x:v>
      </x:c>
      <x:c r="V5" s="27" t="str">
        <x:v>AI text audit only; visual/render audit not yet performed. USER APPROVAL pending.</x:v>
      </x:c>
      <x:c r="W5" s="28" t="str">
        <x:v>AI AUDITED</x:v>
      </x:c>
    </x:row>
    <x:row r="6" ht="330" customHeight="1">
      <x:c r="A6" s="61" t="str">
        <x:v>I001-S1-03A</x:v>
      </x:c>
      <x:c r="B6" s="27" t="str">
        <x:v>I-001</x:v>
      </x:c>
      <x:c r="C6" s="27" t="str">
        <x:v>Season 1</x:v>
      </x:c>
      <x:c r="D6" s="27" t="str">
        <x:v>3</x:v>
      </x:c>
      <x:c r="E6" s="27" t="str">
        <x:v>A</x:v>
      </x:c>
      <x:c r="F6" s="27" t="str">
        <x:v>Đường hầm băng dính</x:v>
      </x:c>
      <x:c r="G6"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a giant roll of translucent removable craft tape. No cuts.
Setting: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0–2s: Bố gently lifts the roll upward. The tape stretches but barely releases.
2–7s: he lowers the roll and pulls at a shallower angle. A short section peels smoothly along the carpet surface, then stops when the angle becomes steep again. Meo compares the two attempts and watches the peel line move only during the low-angle pull. The adhesive remains on the tape, away from hands and clothing.
7–9s: Meo points along the carpet-level direction and traces the moving peel line beside, not on, the sticky edge. Bố keeps the roll still at the low angle.
9–10s: part of the tunnel edge is free, but the remaining strip is still attached. End unresolved.
Physics: peeling at a low angle concentrates separation along the adhesive boundary; pulling straight upward spreads force across more stuck surface and resists release.
Audio: soft tape peel, gentle roll creak, carpet rustle, tiny-world ambience. No dialogue.
Constraints: preserve identity, age and clothing; removable soft craft tape only; adhesive stays away from skin, hair and clothing; stable ground; no trapping, climbing, falls, insects approaching, extra characters, dangerous motion, cuts or text.</x:v>
      </x:c>
      <x:c r="H6" s="27" t="str">
        <x:v>Độ bám dính + suy luận nhân quả theo góc bóc</x:v>
      </x:c>
      <x:c r="I6" s="27" t="str">
        <x:v>Tò mò chuyển thành so sánh vật lý cẩn thận</x:v>
      </x:c>
      <x:c r="J6" s="27" t="str">
        <x:v>Đường hầm băng dính thủ công trong suốt khổng lồ bắc qua lối đi đồ chơi trong Tiny World</x:v>
      </x:c>
      <x:c r="K6" s="27" t="str">
        <x:v>Đường hầm băng dính uốn vòm; một mép dưới dính vào sợi thảm; Bố giữ tay nắm cuộn có đệm; Meo đứng cạnh đường bóc</x:v>
      </x:c>
      <x:c r="L6" s="27" t="str">
        <x:v>Kéo dựng đứng gần như không nhả băng, còn kéo ở góc thấp làm đường bóc tiến rõ rệt</x:v>
      </x:c>
      <x:c r="M6" s="27" t="str">
        <x:v>So sánh hai cách kéo, theo dõi đường bóc và xác định hướng góc thấp hiệu quả</x:v>
      </x:c>
      <x:c r="N6" s="27" t="str">
        <x:v>Nâng, hạ và giữ cuộn băng khổng lồ ở các góc có kiểm soát để làm rõ khác biệt độ bám</x:v>
      </x:c>
      <x:c r="O6" s="27" t="str">
        <x:v>Một phần mép đường hầm đã nhả; phần còn lại vẫn dính vào sợi thảm; chưa giải quyết</x:v>
      </x:c>
      <x:c r="P6" s="27" t="str">
        <x:v>Medium-wide three-quarter ở tầm đất tí hon; không cắt cảnh</x:v>
      </x:c>
      <x:c r="Q6" s="27" t="str">
        <x:v>Góc bóc thấp tập trung lực tách tại biên keo; kéo dựng đứng tải lên vùng dính rộng hơn nên khó nhả</x:v>
      </x:c>
      <x:c r="R6" s="27" t="str">
        <x:v>Không thoại</x:v>
      </x:c>
      <x:c r="S6" s="27" t="str">
        <x:v>Tiếng bóc băng nhẹ; cuộn kêu khẽ; sợi thảm xào xạc; ambience Tiny World</x:v>
      </x:c>
      <x:c r="T6" s="27" t="str">
        <x:v>PASS — G-010/G-011/G-012/G-020/G-034/G-036/G-120; Tiny World scale is central, Bố indispensable, peel-angle clue visibly causal, child-safe, unresolved Part A.</x:v>
      </x:c>
      <x:c r="U6" s="27" t="str">
        <x:v>PASS — G-002/G-003/G-030/G-031/G-037/G-040/G-050/G-051/G-060/G-070/G-090/G-150/G-160/G-161/G-162/G-163/G-164; 318 words; zero at-sign characters.</x:v>
      </x:c>
      <x:c r="V6" s="27" t="str">
        <x:v>AI text audit only; visual/render audit not yet performed. USER APPROVAL pending.</x:v>
      </x:c>
      <x:c r="W6" s="28" t="str">
        <x:v>AI AUDITED</x:v>
      </x:c>
    </x:row>
    <x:row r="7" ht="330" customHeight="1">
      <x:c r="A7" s="61" t="str">
        <x:v>I001-S1-03B</x:v>
      </x:c>
      <x:c r="B7" s="27" t="str">
        <x:v>I-001</x:v>
      </x:c>
      <x:c r="C7" s="27" t="str">
        <x:v>Season 1</x:v>
      </x:c>
      <x:c r="D7" s="27" t="str">
        <x:v>3</x:v>
      </x:c>
      <x:c r="E7" s="27" t="str">
        <x:v>B</x:v>
      </x:c>
      <x:c r="F7" s="27" t="str">
        <x:v>Đường hầm băng dính</x:v>
      </x:c>
      <x:c r="G7"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miniature-ground angle, keeping the giant tape roll, stuck edge and clear tunnel visible. No cuts.
Setting and opening state: the translucent tape tunnel arches over the toy path. Part of its lower edge is free; the remaining strip is attached to carpet fibers. Bố holds the padded roll handle low. Meo stands beside the peel line.
0–2s: Meo points forward along the carpet-level direction and signals Bố to keep the roll low.
2–7s: Bố pulls the roll slowly parallel to the ground with gentle tension. The peel line travels steadily along the stuck edge. Meo walks beside the non-sticky side and signals as fibers release. The tunnel keeps its arch while the adhesive edge separates without snapping.
7–9s: when the final stuck section releases, Meo signals stop. Bố seats the roll handle into a padded holder so the tunnel stays open.
9–10s: colored light shines through the translucent tunnel. Meo says in Vietnamese, with a delighted five-year-old voice: “Bố ơi, đường hầm mở rồi!” Keep the exact wording; do not translate it.
Physics: a shallow peel angle concentrates separation at the moving adhesive boundary, allowing the tape to release progressively instead of resisting across a broad area.
Audio: smooth tape peel, holder click, carpet rustle, tiny-world chimes, one short dialogue line.
Constraints: exact A-to-B continuity; preserve identity, age and clothing; removable soft craft tape only; adhesive stays away from skin, hair and clothing; stable path; no trapping, climbing, falls, insects approaching, extra characters, dangerous motion, cuts or text.</x:v>
      </x:c>
      <x:c r="H7" s="27" t="str">
        <x:v>Độ bám dính + suy luận nhân quả theo góc bóc</x:v>
      </x:c>
      <x:c r="I7" s="27" t="str">
        <x:v>Thỏa mãn khi cùng giải phóng đường hầm an toàn</x:v>
      </x:c>
      <x:c r="J7" s="27" t="str">
        <x:v>Cùng đường hầm băng dính khổng lồ và lối đi đồ chơi trong Tiny World</x:v>
      </x:c>
      <x:c r="K7" s="27" t="str">
        <x:v>Đường hầm đã nhả một phần; mép còn lại vẫn dính; Bố giữ cuộn ở thấp; Meo đứng cạnh đường bóc</x:v>
      </x:c>
      <x:c r="L7" s="27" t="str">
        <x:v>Meo hướng dẫn hướng bóc thấp, Bố kéo cuộn song song mặt đất cho đến khi mép đường hầm nhả trơn tru</x:v>
      </x:c>
      <x:c r="M7" s="27" t="str">
        <x:v>Theo dõi đường bóc, ra hiệu giữ góc thấp và đánh dấu thời điểm nhả hoàn toàn</x:v>
      </x:c>
      <x:c r="N7" s="27" t="str">
        <x:v>Kéo tay nắm cuộn có đệm ở góc thấp đã kiểm soát rồi đặt vào giá đỡ đệm</x:v>
      </x:c>
      <x:c r="O7" s="27" t="str">
        <x:v>Đường hầm nhả hoàn toàn và ổn định; ánh sáng màu xuyên qua; kết thúc tích cực</x:v>
      </x:c>
      <x:c r="P7" s="27" t="str">
        <x:v>Cùng góc medium-wide để giữ continuity; không cắt cảnh</x:v>
      </x:c>
      <x:c r="Q7" s="27" t="str">
        <x:v>Duy trì góc bóc thấp giữ lực tách tập trung ở biên keo đang di chuyển, giúp băng nhả dần</x:v>
      </x:c>
      <x:c r="R7" s="27" t="str">
        <x:v>Meo: “Bố ơi, đường hầm mở rồi!”</x:v>
      </x:c>
      <x:c r="S7" s="27" t="str">
        <x:v>Tiếng bóc băng mượt; tiếng đặt vào giá; sợi thảm xào xạc; chuông Tiny World; thoại ngắn</x:v>
      </x:c>
      <x:c r="T7" s="27" t="str">
        <x:v>PASS — G-010/G-011/G-012/G-020/G-034/G-036/G-120; exact A→B handoff, Bố indispensable, Meo applies the observed peel-angle clue and the tunnel releases safely.</x:v>
      </x:c>
      <x:c r="U7" s="27" t="str">
        <x:v>PASS — G-002/G-003/G-030/G-031/G-037/G-040/G-050/G-051/G-060/G-070/G-080/G-081/G-090/G-150/G-160/G-161/G-162/G-163/G-164; 320 words; zero at-sign characters.</x:v>
      </x:c>
      <x:c r="V7" s="27" t="str">
        <x:v>AI text audit only; visual/render audit not yet performed. USER APPROVAL pending.</x:v>
      </x:c>
      <x:c r="W7" s="28" t="str">
        <x:v>AI AUDITED</x:v>
      </x:c>
    </x:row>
    <x:row r="8" ht="330" customHeight="1">
      <x:c r="A8" s="61" t="str">
        <x:v>I001-S1-04A</x:v>
      </x:c>
      <x:c r="B8" s="27" t="str">
        <x:v>I-001</x:v>
      </x:c>
      <x:c r="C8" s="27" t="str">
        <x:v>Season 1</x:v>
      </x:c>
      <x:c r="D8" s="27" t="str">
        <x:v>4</x:v>
      </x:c>
      <x:c r="E8" s="27" t="str">
        <x:v>A</x:v>
      </x:c>
      <x:c r="F8" s="27" t="str">
        <x:v>Con đường ruy băng xoắn</x:v>
      </x:c>
      <x:c r="G8"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tracking shot along a giant satin ribbon laid across a stable toy-block plaza in the Tiny World. No cuts.
Setting: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0–2s: Bố gently pulls the two handles apart. The ribbon straightens lengthwise but the half twist remains.
2–7s: Bố rotates one end slightly clockwise, then back. The upright edge changes sides as the twist travels along the ribbon. Meo watches the printed arrows vanish under the twisted section and reappear when the ribbon approaches flat. She compares them with matching arrow marks on the ground.
7–9s: Meo points to the direction that makes the printed arrows face upward together. Bố holds both handles still with the twist gathered in the middle.
9–10s: the ribbon remains partly twisted, with one short section still standing on edge. End unresolved.
Physics: a half twist stores torsion in the flexible ribbon; rotating one end in the opposite direction moves and removes that twist so the broad surface can lie flat.
Audio: soft satin slide, gentle fabric flutter, toy-plaza ambience. No dialogue.
Constraints: preserve identity, age and clothing; ribbon remains on stable ground and never wraps around bodies; no climbing, pulling near neck or limbs, falls, insects approaching, extra characters, dangerous motion, cuts or text.</x:v>
      </x:c>
      <x:c r="H8" s="27" t="str">
        <x:v>Xoắn + suy luận về hướng</x:v>
      </x:c>
      <x:c r="I8" s="27" t="str">
        <x:v>Bất ngờ chuyển thành tự tin theo dõi quy luật</x:v>
      </x:c>
      <x:c r="J8" s="27" t="str">
        <x:v>Con đường ruy băng satin khổng lồ trên quảng trường khối đồ chơi ổn định trong Tiny World</x:v>
      </x:c>
      <x:c r="K8" s="27" t="str">
        <x:v>Ruy băng có một nửa vòng xoắn; mũi tên in bị lật xuống dưới; Bố giữ tay nắm hai đầu; Meo đứng cạnh dấu định hướng</x:v>
      </x:c>
      <x:c r="L8" s="27" t="str">
        <x:v>Xoay một đầu làm vòng xoắn di chuyển và đổi phía mũi tên hướng lên, cho thấy lực xoắn đang tích trong ruy băng</x:v>
      </x:c>
      <x:c r="M8" s="27" t="str">
        <x:v>Theo dõi hướng mũi tên và xác định chiều xoay nào đưa mặt ruy băng trở lại hướng lên</x:v>
      </x:c>
      <x:c r="N8" s="27" t="str">
        <x:v>Căng hai đầu ruy băng và xoay một tay nắm có đệm qua các góc nhỏ có kiểm soát</x:v>
      </x:c>
      <x:c r="O8" s="27" t="str">
        <x:v>Ruy băng gần phẳng nhưng một đoạn giữa vẫn còn xoắn và dựng cạnh; chưa giải quyết</x:v>
      </x:c>
      <x:c r="P8" s="27" t="str">
        <x:v>Tracking ngang medium-wide dọc theo con đường ruy băng; không cắt cảnh</x:v>
      </x:c>
      <x:c r="Q8" s="27" t="str">
        <x:v>Nửa vòng xoắn tích lực xoắn trong ruy băng mềm; xoay ngược chiều sẽ di chuyển và loại bỏ vòng xoắn để mặt rộng nằm phẳng</x:v>
      </x:c>
      <x:c r="R8" s="27" t="str">
        <x:v>Không thoại</x:v>
      </x:c>
      <x:c r="S8" s="27" t="str">
        <x:v>Ruy băng trượt nhẹ; vải phấp phới; ambience quảng trường đồ chơi</x:v>
      </x:c>
      <x:c r="T8" s="27" t="str">
        <x:v>PASS — G-010/G-011/G-012/G-020/G-034/G-036/G-120; Tiny World scale is central, Bố indispensable, torsion/orientation clue visible, child-safe, unresolved Part A.</x:v>
      </x:c>
      <x:c r="U8" s="27" t="str">
        <x:v>PASS — G-002/G-003/G-030/G-031/G-037/G-040/G-050/G-051/G-060/G-070/G-090/G-150/G-160/G-161/G-162/G-163/G-164; 318 words; zero at-sign characters.</x:v>
      </x:c>
      <x:c r="V8" s="27" t="str">
        <x:v>AI text audit only; visual/render audit not yet performed. USER APPROVAL pending.</x:v>
      </x:c>
      <x:c r="W8" s="28" t="str">
        <x:v>AI AUDITED</x:v>
      </x:c>
    </x:row>
    <x:row r="9" ht="330" customHeight="1">
      <x:c r="A9" s="61" t="str">
        <x:v>I001-S1-04B</x:v>
      </x:c>
      <x:c r="B9" s="27" t="str">
        <x:v>I-001</x:v>
      </x:c>
      <x:c r="C9" s="27" t="str">
        <x:v>Season 1</x:v>
      </x:c>
      <x:c r="D9" s="27" t="str">
        <x:v>4</x:v>
      </x:c>
      <x:c r="E9" s="27" t="str">
        <x:v>B</x:v>
      </x:c>
      <x:c r="F9" s="27" t="str">
        <x:v>Con đường ruy băng xoắn</x:v>
      </x:c>
      <x:c r="G9"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side of the giant ribbon road, keeping both end-handles, remaining twist and orientation marks visible. No cuts.
Setting and opening state: the satin ribbon connects two toy-block districts. Most lies flat, but one middle section remains twisted and standing on edge. Bố holds both padded end-handles. Meo stands beside the upward-facing arrow marks.
0–2s: Meo points to the visible arrows and signals Bố to rotate the right handle counterclockwise.
2–7s: Bố turns the right handle slowly while keeping the left steady. The twist travels toward the right end and disappears. Meo watches each printed arrow return to the top surface and compares it with the matching ground marks. The ribbon settles broad and flat without whipping.
7–9s: Meo signals stop when all arrows face upward. Bố seats both handles into padded ground catches.
9–10s: tiny paper flags beside the ribbon lift softly. Meo says in Vietnamese, with a proud five-year-old voice: “Bố ơi, con đường phẳng rồi!” Keep the exact wording; do not translate it.
Physics: rotating one ribbon end opposite the stored half twist releases torsion; once the twist leaves the span, the flexible ribbon relaxes flat.
Audio: soft satin slide, two catch clicks, gentle fabric flutter, tiny-world ambience, one short dialogue line.
Constraints: exact A-to-B continuity; preserve identity, age and clothing; ribbon stays on stable ground and never wraps around bodies; no climbing, pulling near neck or limbs, falls, insects approaching, extra characters, dangerous motion, cuts or text.</x:v>
      </x:c>
      <x:c r="H9" s="27" t="str">
        <x:v>Xoắn + suy luận về hướng</x:v>
      </x:c>
      <x:c r="I9" s="27" t="str">
        <x:v>Tự hào khi cùng khôi phục một lối đi rõ ràng</x:v>
      </x:c>
      <x:c r="J9" s="27" t="str">
        <x:v>Cùng con đường ruy băng satin khổng lồ trên quảng trường khối đồ chơi trong Tiny World</x:v>
      </x:c>
      <x:c r="K9" s="27" t="str">
        <x:v>Ruy băng gần phẳng; còn một vòng xoắn ở giữa; Bố giữ hai tay nắm đầu; Meo đứng cạnh dấu mũi tên hướng lên</x:v>
      </x:c>
      <x:c r="L9" s="27" t="str">
        <x:v>Meo hướng dẫn xoay ngược, Bố xoay một tay nắm và giữ đầu còn lại cố định cho đến khi ruy băng nằm phẳng</x:v>
      </x:c>
      <x:c r="M9" s="27" t="str">
        <x:v>Theo dõi mũi tên in, ra hiệu đúng chiều xoay ngược và đánh dấu điểm dừng</x:v>
      </x:c>
      <x:c r="N9" s="27" t="str">
        <x:v>Xoay tay nắm đệm bên phải, giữ bên trái cố định và khóa cả hai đầu vào chốt đệm trên nền</x:v>
      </x:c>
      <x:c r="O9" s="27" t="str">
        <x:v>Ruy băng phẳng hoàn toàn, toàn bộ mũi tên hướng lên; cờ nhỏ bật lên; kết thúc tích cực</x:v>
      </x:c>
      <x:c r="P9" s="27" t="str">
        <x:v>Cùng phía, medium-wide để giữ continuity; không cắt cảnh</x:v>
      </x:c>
      <x:c r="Q9" s="27" t="str">
        <x:v>Xoay ngược giải phóng nửa vòng xoắn; khi lực xoắn hết, ruy băng mềm tự nằm phẳng</x:v>
      </x:c>
      <x:c r="R9" s="27" t="str">
        <x:v>Meo: “Bố ơi, con đường phẳng rồi!”</x:v>
      </x:c>
      <x:c r="S9" s="27" t="str">
        <x:v>Ruy băng trượt nhẹ; hai tiếng chốt; vải phấp phới; ambience Tiny World; thoại ngắn</x:v>
      </x:c>
      <x:c r="T9" s="27" t="str">
        <x:v>PASS — G-010/G-011/G-012/G-020/G-034/G-036/G-120; exact A→B handoff, Bố indispensable, Meo applies the visible orientation clue and the ribbon safely relaxes flat.</x:v>
      </x:c>
      <x:c r="U9" s="27" t="str">
        <x:v>PASS — G-002/G-003/G-030/G-031/G-037/G-040/G-050/G-051/G-060/G-070/G-080/G-081/G-090/G-150/G-160/G-161/G-162/G-163/G-164; 312 words; zero at-sign characters.</x:v>
      </x:c>
      <x:c r="V9" s="27" t="str">
        <x:v>AI text audit only; visual/render audit not yet performed. USER APPROVAL pending.</x:v>
      </x:c>
      <x:c r="W9" s="28" t="str">
        <x:v>AI AUDITED</x:v>
      </x:c>
    </x:row>
    <x:row r="10" ht="330" customHeight="1">
      <x:c r="A10" s="61" t="str">
        <x:v>I001-S1-05A</x:v>
      </x:c>
      <x:c r="B10" s="27" t="str">
        <x:v>I-001</x:v>
      </x:c>
      <x:c r="C10" s="27" t="str">
        <x:v>Season 1</x:v>
      </x:c>
      <x:c r="D10" s="27" t="str">
        <x:v>5</x:v>
      </x:c>
      <x:c r="E10" s="27" t="str">
        <x:v>A</x:v>
      </x:c>
      <x:c r="F10" s="27" t="str">
        <x:v>Lối qua khóa kéo khổng lồ</x:v>
      </x:c>
      <x:c r="G10"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a giant soft toy-pouch zipper spanning a shallow illustrated gap. No cuts.
Setting: inside the Tiny World, the zipper is as wide as a bridge. Its two fabric tapes lie safely on the ground, with rounded plastic teeth and a large padded slider. Bố grips two soft rail handles attached to the zipper tapes. Meo stands beside the slider entrance.
0–2s: Bố pulls the padded slider forward gently. It moves a short distance, then stops.
2–7s: he eases it back and holds both fabric rails steady. Meo notices the left tape enters the slider farther than the right, so the first teeth meet unevenly and separate again. Bố shifts one rail slightly; when both tape edges approach the slider together, two tooth pairs briefly interlock before the offset returns.
7–9s: Meo points from the unequal tape depths to two simple edge marks beside the slider and traces where both sides should arrive together. Bố holds the rails fixed.
9–10s: the slider remains near the start, with both zipper tapes almost aligned but not yet feeding evenly. End unresolved.
Physics: zipper teeth interlock only when both tapes enter the slider at matching depth and angle; uneven feed prevents the opposing teeth from meeting correctly.
Audio: soft zipper clicks, fabric slide, gentle toy-world ambience. No dialogue.
Constraints: preserve identity, age and clothing; zipper remains flat on stable ground; rounded soft toy components only; no clothing interaction, pinching, trapping, climbing, falls, insects approaching, extra characters, dangerous motion, cuts or text.</x:v>
      </x:c>
      <x:c r="H10" s="27" t="str">
        <x:v>Răng ăn khớp + suy luận cấp liệu đối xứng qua slider</x:v>
      </x:c>
      <x:c r="I10" s="27" t="str">
        <x:v>Tò mò chuyển thành phối hợp hai bên chính xác</x:v>
      </x:c>
      <x:c r="J10" s="27" t="str">
        <x:v>Khóa kéo túi đồ chơi mềm khổng lồ bắc qua một khe minh họa nông trong Tiny World</x:v>
      </x:c>
      <x:c r="K10" s="27" t="str">
        <x:v>Slider gần điểm đầu; băng khóa bên trái đi vào sâu hơn bên phải; Bố ở tay nắm ray đệm; Meo đứng cạnh các dấu slider</x:v>
      </x:c>
      <x:c r="L10" s="27" t="str">
        <x:v>Cấp băng không đều làm răng tròn gặp lệch và tách ra; cấp đều giúp chúng tạm thời ăn khớp</x:v>
      </x:c>
      <x:c r="M10" s="27" t="str">
        <x:v>So sánh độ sâu hai băng, lần theo dấu cặp ở mép và xác định cấp liệu bằng nhau là manh mối</x:v>
      </x:c>
      <x:c r="N10" s="27" t="str">
        <x:v>Điều chỉnh và giữ hai ray băng khóa có đệm để chênh lệch cấp liệu nhìn thấy rõ</x:v>
      </x:c>
      <x:c r="O10" s="27" t="str">
        <x:v>Slider vẫn gần điểm đầu; hai băng gần thẳng hàng nhưng chưa đi vào đều; chưa giải quyết</x:v>
      </x:c>
      <x:c r="P10" s="27" t="str">
        <x:v>Medium-wide three-quarter ở tầm đất tí hon; không cắt cảnh</x:v>
      </x:c>
      <x:c r="Q10" s="27" t="str">
        <x:v>Răng khóa ăn khớp khi hai băng đi vào slider cùng độ sâu và góc; cấp liệu lệch làm chúng không thể ăn khớp đúng</x:v>
      </x:c>
      <x:c r="R10" s="27" t="str">
        <x:v>Không thoại</x:v>
      </x:c>
      <x:c r="S10" s="27" t="str">
        <x:v>Tiếng khóa kéo lách tách nhẹ; vải trượt; ambience thế giới đồ chơi</x:v>
      </x:c>
      <x:c r="T10" s="27" t="str">
        <x:v>PASS — G-010/G-011/G-012/G-020/G-034/G-036/G-120; Tiny World scale is central, Bố indispensable, symmetric slider-feed clue visible, child-safe, unresolved Part A.</x:v>
      </x:c>
      <x:c r="U10" s="27" t="str">
        <x:v>PASS — G-002/G-003/G-030/G-031/G-037/G-040/G-050/G-051/G-060/G-070/G-090/G-150/G-160/G-161/G-162/G-163/G-164; 318 words; zero at-sign characters.</x:v>
      </x:c>
      <x:c r="V10" s="27" t="str">
        <x:v>AI text audit only; visual/render audit not yet performed. USER APPROVAL pending.</x:v>
      </x:c>
      <x:c r="W10" s="28" t="str">
        <x:v>AI AUDITED</x:v>
      </x:c>
    </x:row>
    <x:row r="11" ht="330" customHeight="1">
      <x:c r="A11" s="61" t="str">
        <x:v>I001-S1-05B</x:v>
      </x:c>
      <x:c r="B11" s="27" t="str">
        <x:v>I-001</x:v>
      </x:c>
      <x:c r="C11" s="27" t="str">
        <x:v>Season 1</x:v>
      </x:c>
      <x:c r="D11" s="27" t="str">
        <x:v>5</x:v>
      </x:c>
      <x:c r="E11" s="27" t="str">
        <x:v>B</x:v>
      </x:c>
      <x:c r="F11" s="27" t="str">
        <x:v>Lối qua khóa kéo khổng lồ</x:v>
      </x:c>
      <x:c r="G11"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miniature-ground angle, keeping both zipper tapes, padded slider and alignment marks visible. No cuts.
Setting and opening state: the giant toy zipper lies flat across the illustrated gap. The slider is near the start. One tape still enters slightly farther than the other. Bố holds two soft rail handles. Meo stands beside the slider.
0–2s: Meo points to the paired edge marks and signals Bố to bring the shorter tape forward.
2–7s: Bố adjusts both handles until the tape edges reach the slider together, then holds them parallel. Meo watches the first rounded teeth meet symmetrically and signals him to pull. Bố moves the padded slider slowly forward. Tooth pairs interlock in a smooth line behind it, creating one flat connected crossing.
7–9s: when the slider reaches the padded stop, Meo signals stop. Bố seats both rail handles into low ground catches.
9–10s: tiny toy flags beside the crossing lift gently. Meo says in Vietnamese, with a delighted five-year-old voice: “Bố ơi, hai bên khớp rồi!” Keep the exact wording; do not translate it.
Physics: equal feed depth and matching tape angle let opposing zipper teeth enter the slider together and interlock progressively.
Audio: smooth zipper clicks, soft fabric slide, catch taps, tiny-world chimes, one short dialogue line.
Constraints: exact A-to-B continuity; preserve identity, age and clothing; zipper stays flat on stable ground; rounded soft toy parts only; no clothing interaction, pinching, trapping, climbing, falls, insects approaching, extra characters, dangerous motion, cuts or text.</x:v>
      </x:c>
      <x:c r="H11" s="27" t="str">
        <x:v>Răng ăn khớp + suy luận cấp liệu đối xứng qua slider</x:v>
      </x:c>
      <x:c r="I11" s="27" t="str">
        <x:v>Vui khi khiến hai bên phối hợp được với nhau</x:v>
      </x:c>
      <x:c r="J11" s="27" t="str">
        <x:v>Cùng khóa kéo túi đồ chơi mềm khổng lồ trong Tiny World</x:v>
      </x:c>
      <x:c r="K11" s="27" t="str">
        <x:v>Slider gần điểm đầu; hai băng gần thẳng nhưng một bên vẫn đi vào sâu hơn; Bố giữ tay nắm ray; Meo đứng cạnh dấu</x:v>
      </x:c>
      <x:c r="L11" s="27" t="str">
        <x:v>Meo hướng dẫn cấp liệu đều, Bố căn hai ray và kéo slider đệm cho đến khi khóa kéo ăn khớp mượt</x:v>
      </x:c>
      <x:c r="M11" s="27" t="str">
        <x:v>Theo dõi các dấu cặp, ra hiệu vị trí cấp liệu đều và đánh dấu điểm dừng cuối</x:v>
      </x:c>
      <x:c r="N11" s="27" t="str">
        <x:v>Điều chỉnh hai tay nắm ray, giữ chúng song song và kéo slider đệm đến điểm dừng</x:v>
      </x:c>
      <x:c r="O11" s="27" t="str">
        <x:v>Khóa kéo ăn khớp hoàn toàn thành một lối băng phẳng; cờ nhỏ bật lên; kết thúc tích cực</x:v>
      </x:c>
      <x:c r="P11" s="27" t="str">
        <x:v>Cùng góc medium-wide để giữ continuity; không cắt cảnh</x:v>
      </x:c>
      <x:c r="Q11" s="27" t="str">
        <x:v>Độ sâu cấp liệu bằng nhau và góc băng phù hợp cho phép răng đối diện cùng đi vào slider và ăn khớp dần</x:v>
      </x:c>
      <x:c r="R11" s="27" t="str">
        <x:v>Meo: “Bố ơi, hai bên khớp rồi!”</x:v>
      </x:c>
      <x:c r="S11" s="27" t="str">
        <x:v>Tiếng khóa kéo mượt; vải trượt; tiếng chạm chốt; chuông Tiny World; thoại ngắn</x:v>
      </x:c>
      <x:c r="T11" s="27" t="str">
        <x:v>PASS — G-010/G-011/G-012/G-020/G-034/G-036/G-120; exact A→B handoff, Bố indispensable, Meo applies the equal-feed clue and the zipper interlocks safely.</x:v>
      </x:c>
      <x:c r="U11" s="27" t="str">
        <x:v>PASS — G-002/G-003/G-030/G-031/G-037/G-040/G-050/G-051/G-060/G-070/G-080/G-081/G-090/G-150/G-160/G-161/G-162/G-163/G-164; 316 words; zero at-sign characters.</x:v>
      </x:c>
      <x:c r="V11" s="27" t="str">
        <x:v>AI text audit only; visual/render audit not yet performed. USER APPROVAL pending.</x:v>
      </x:c>
      <x:c r="W11" s="28" t="str">
        <x:v>AI AUDITED</x:v>
      </x:c>
    </x:row>
    <x:row r="12" ht="330" customHeight="1">
      <x:c r="A12" s="61" t="str">
        <x:v>I001-S1-06A</x:v>
      </x:c>
      <x:c r="B12" s="27" t="str">
        <x:v>I-001</x:v>
      </x:c>
      <x:c r="C12" s="27" t="str">
        <x:v>Season 1</x:v>
      </x:c>
      <x:c r="D12" s="27" t="str">
        <x:v>6</x:v>
      </x:c>
      <x:c r="E12" s="27" t="str">
        <x:v>A</x:v>
      </x:c>
      <x:c r="F12" s="27" t="str">
        <x:v>Tháp cốc lồng</x:v>
      </x:c>
      <x:c r="G12"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shot beside giant nesting cups on a stable foam mat in the Tiny World. No cuts.
Setting: toy cups are enormous here. A large blue cup stands low above the mat in Bố’s padded side handles. A smaller yellow cup rests partly inside it but is tilted, with one rim touching the blue inner wall. Meo stands beside center marks on the bases.
0–2s: Bố lowers the blue cup slightly. The yellow cup enters only a little, then stops.
2–7s: Bố lifts the blue cup back and holds it steady. Meo notices the yellow rim touches one side while a wide gap remains on the other. She rotates the yellow cup by its safe base tab until the gaps become more even. Bố lowers the outer cup again; it slides farther before the tilted rim touches once more.
7–9s: Meo points from the off-center base mark to the center mark beneath the blue cup and traces a straight vertical line. Bố holds the outer cup steady near the mat.
9–10s: the yellow cup sits deeper but remains slightly tilted. End unresolved.
Physics: a smaller cup needs its central axis aligned with the larger cup so rim clearance stays even; tilt causes early side contact and stops insertion.
Audio: soft plastic taps, foam-mat rustle, gentle tiny-world ambience. No dialogue.
Constraints: preserve identity, age and clothing; lightweight soft toy cups only; cups stay near ground level; no lifting above heads, climbing inside cups, trapping, falls, insects approaching, extra characters, dangerous motion, cuts or text.</x:v>
      </x:c>
      <x:c r="H12" s="27" t="str">
        <x:v>Căn trục + suy luận khe hở đường kính</x:v>
      </x:c>
      <x:c r="I12" s="27" t="str">
        <x:v>Bất ngờ chuyển thành căn chỉnh không gian cẩn thận</x:v>
      </x:c>
      <x:c r="J12" s="27" t="str">
        <x:v>Các cốc lồng màu sắc khổng lồ trên thảm xốp ổn định trong Tiny World</x:v>
      </x:c>
      <x:c r="K12" s="27" t="str">
        <x:v>Cốc vàng nằm một phần trong cốc xanh nhưng bị nghiêng; khe mép không đều; Bố ở tay nắm đệm hai bên; Meo đứng cạnh dấu tâm</x:v>
      </x:c>
      <x:c r="L12" s="27" t="str">
        <x:v>Nghiêng làm một mép chạm sớm trong khi phía đối diện còn dư khe; căn tâm giúp cốc trượt sâu hơn</x:v>
      </x:c>
      <x:c r="M12" s="27" t="str">
        <x:v>So sánh khe mép không đều và dấu tâm đáy, rồi xác định trục thẳng đứng chung</x:v>
      </x:c>
      <x:c r="N12" s="27" t="str">
        <x:v>Nâng, giữ và hạ cốc ngoài màu xanh gần mặt đất để thử căn chỉnh có kiểm soát</x:v>
      </x:c>
      <x:c r="O12" s="27" t="str">
        <x:v>Cốc vàng vào sâu hơn nhưng vẫn hơi nghiêng; chưa lồng hoàn toàn; chưa giải quyết</x:v>
      </x:c>
      <x:c r="P12" s="27" t="str">
        <x:v>Medium-wide góc thấp cạnh các cốc; không cắt cảnh</x:v>
      </x:c>
      <x:c r="Q12" s="27" t="str">
        <x:v>Căn cùng trục tâm giúp khe mép đều; độ nghiêng gây tiếp xúc sớm ở cạnh và chặn chuyển động lồng vào</x:v>
      </x:c>
      <x:c r="R12" s="27" t="str">
        <x:v>Không thoại</x:v>
      </x:c>
      <x:c r="S12" s="27" t="str">
        <x:v>Tiếng nhựa chạm nhẹ; thảm xốp xào xạc; ambience Tiny World</x:v>
      </x:c>
      <x:c r="T12" s="27" t="str">
        <x:v>PASS — G-010/G-011/G-012/G-020/G-034/G-036/G-120; Tiny World scale is central, Bố indispensable, axis/clearance clue visible, child-safe, unresolved Part A.</x:v>
      </x:c>
      <x:c r="U12" s="27" t="str">
        <x:v>PASS — G-002/G-003/G-030/G-031/G-037/G-040/G-050/G-051/G-060/G-070/G-090/G-150/G-160/G-161/G-162/G-163/G-164; 320 words; zero at-sign characters.</x:v>
      </x:c>
      <x:c r="V12" s="27" t="str">
        <x:v>AI text audit only; visual/render audit not yet performed. USER APPROVAL pending.</x:v>
      </x:c>
      <x:c r="W12" s="28" t="str">
        <x:v>AI AUDITED</x:v>
      </x:c>
    </x:row>
    <x:row r="13" ht="330" customHeight="1">
      <x:c r="A13" s="61" t="str">
        <x:v>I001-S1-06B</x:v>
      </x:c>
      <x:c r="B13" s="27" t="str">
        <x:v>I-001</x:v>
      </x:c>
      <x:c r="C13" s="27" t="str">
        <x:v>Season 1</x:v>
      </x:c>
      <x:c r="D13" s="27" t="str">
        <x:v>6</x:v>
      </x:c>
      <x:c r="E13" s="27" t="str">
        <x:v>B</x:v>
      </x:c>
      <x:c r="F13" s="27" t="str">
        <x:v>Tháp cốc lồng</x:v>
      </x:c>
      <x:c r="G13"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low angle, keeping the blue outer cup, yellow inner cup and center marks visible. No cuts.
Setting and opening state: the yellow cup sits partly inside the giant blue cup, slightly tilted with unequal rim gaps. Bố holds padded side handles near the foam mat. Meo stands beside the alignment marks.
0–2s: Meo points to the two center marks and signals Bố to hold the blue cup directly above them.
2–7s: Bố keeps the outer cup vertical while Meo straightens the yellow cup by its safe base tab until the rim gap looks even. She signals ready. Bố lowers the blue cup slowly. The yellow cup slides deeper smoothly and both base marks stay centered.
7–9s: when the nesting stop reaches the padded rim line, Meo signals stop. Bố sets the nested cups on the foam mat.
9–10s: a star on the inner cup appears centered inside the blue rim. Meo says in Vietnamese, with a proud five-year-old voice: “Bố ơi, hai chiếc cốc lồng vào rồi!” Keep the exact wording; do not translate it.
Physics: aligning both cups along one central axis keeps rim clearance even, allowing the smaller cup to slide inside without early side contact.
Audio: soft plastic slide, gentle foam tap, tiny chime, one short dialogue line.
Constraints: exact A-to-B continuity; preserve identity, age and clothing; lightweight soft toy cups only; cups stay near ground level; no lifting above heads, climbing inside cups, trapping, falls, insects approaching, extra characters, dangerous motion, cuts or text.</x:v>
      </x:c>
      <x:c r="H13" s="27" t="str">
        <x:v>Căn trục + suy luận khe hở đường kính</x:v>
      </x:c>
      <x:c r="I13" s="27" t="str">
        <x:v>Tự hào khi cùng căn đúng một vật thể khổng lồ</x:v>
      </x:c>
      <x:c r="J13" s="27" t="str">
        <x:v>Cùng các cốc lồng khổng lồ trên thảm xốp trong Tiny World</x:v>
      </x:c>
      <x:c r="K13" s="27" t="str">
        <x:v>Cốc vàng nằm một phần trong cốc xanh, hơi nghiêng với khe mép không đều; Bố ở tay nắm bên; Meo đứng cạnh dấu tâm</x:v>
      </x:c>
      <x:c r="L13" s="27" t="str">
        <x:v>Meo căn cốc vàng vào tâm trong khi Bố giữ và hạ cốc ngoài cho đến khi hai cốc lồng vào nhau mượt</x:v>
      </x:c>
      <x:c r="M13" s="27" t="str">
        <x:v>Dùng tab đáy an toàn, theo dõi khe mép đều và ra hiệu đúng điểm dừng căn chỉnh</x:v>
      </x:c>
      <x:c r="N13" s="27" t="str">
        <x:v>Giữ cốc ngoài thẳng đứng, hạ từ từ và đặt bộ cốc đã lồng xuống thảm xốp</x:v>
      </x:c>
      <x:c r="O13" s="27" t="str">
        <x:v>Hai cốc lồng hoàn toàn, ngôi sao ở tâm hiện rõ; kết thúc tích cực</x:v>
      </x:c>
      <x:c r="P13" s="27" t="str">
        <x:v>Cùng góc medium-wide để giữ continuity; không cắt cảnh</x:v>
      </x:c>
      <x:c r="Q13" s="27" t="str">
        <x:v>Cùng trục tâm giữ khe mép đều, cho phép cốc nhỏ trượt vào mà không va cạnh sớm</x:v>
      </x:c>
      <x:c r="R13" s="27" t="str">
        <x:v>Meo: “Bố ơi, hai chiếc cốc lồng vào rồi!”</x:v>
      </x:c>
      <x:c r="S13" s="27" t="str">
        <x:v>Tiếng nhựa trượt nhẹ; chạm thảm xốp; chuông nhỏ; thoại ngắn</x:v>
      </x:c>
      <x:c r="T13" s="27" t="str">
        <x:v>PASS — G-010/G-011/G-012/G-020/G-034/G-036/G-120; exact A→B handoff, Bố indispensable, Meo applies the axis-alignment clue and the cups nest safely.</x:v>
      </x:c>
      <x:c r="U13" s="27" t="str">
        <x:v>PASS — G-002/G-003/G-030/G-031/G-037/G-040/G-050/G-051/G-060/G-070/G-080/G-081/G-090/G-150/G-160/G-161/G-162/G-163/G-164; 320 words; zero at-sign characters.</x:v>
      </x:c>
      <x:c r="V13" s="27" t="str">
        <x:v>AI text audit only; visual/render audit not yet performed. USER APPROVAL pending.</x:v>
      </x:c>
      <x:c r="W13" s="28" t="str">
        <x:v>AI AUDITED</x:v>
      </x:c>
    </x:row>
    <x:row r="14" ht="330" customHeight="1">
      <x:c r="A14" s="61" t="str">
        <x:v>I001-S1-07A</x:v>
      </x:c>
      <x:c r="B14" s="27" t="str">
        <x:v>I-001</x:v>
      </x:c>
      <x:c r="C14" s="27" t="str">
        <x:v>Season 1</x:v>
      </x:c>
      <x:c r="D14" s="27" t="str">
        <x:v>7</x:v>
      </x:c>
      <x:c r="E14" s="27" t="str">
        <x:v>A</x:v>
      </x:c>
      <x:c r="F14" s="27" t="str">
        <x:v>Phím bàn phím khổng lồ</x:v>
      </x:c>
      <x:c r="G14"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shot beside a giant soft toy-keyboard key inside the Tiny World. No cuts.
Setting: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0–2s: Bố presses near the left end. The left side drops first, the right stays higher, and the key stops tilted.
2–7s: Bố eases upward, then presses closer to center. All four guide gaps become more even and the key slides farther down. He shifts pressure toward one edge again; the key tilts and binds against a guide post. Meo compares the unequal corner gaps with the brief centered descent.
7–9s: Meo points to the center star and traces equal spacing around the four guide marks. Bố holds the key still.
9–10s: the key remains partly lowered with one corner slightly lower and all four guide posts visible. End unresolved.
Physics: off-center force creates torque that tilts the keycap and presses its guides sideways; centered force distributes load evenly so the cap descends parallel to the posts.
Audio: soft foam creak, gentle key slide, tiny-world ambience. No dialogue.
Constraints: preserve identity, age and clothing; lightweight rounded toy-keyboard module only; hands remain on padded handles and outside moving gaps; stable ground; no climbing, pinching, electrical parts, falls, insects approaching, extra characters, dangerous motion, cuts or text.</x:v>
      </x:c>
      <x:c r="H14" s="27" t="str">
        <x:v>Tải lực vào tâm + suy luận nhân quả về kẹt ray</x:v>
      </x:c>
      <x:c r="I14" s="27" t="str">
        <x:v>Tò mò chuyển thành so sánh lực cẩn thận</x:v>
      </x:c>
      <x:c r="J14" s="27" t="str">
        <x:v>Phím bàn phím đồ chơi mềm khổng lồ trong Tiny World</x:v>
      </x:c>
      <x:c r="K14" s="27" t="str">
        <x:v>Phím nhô một phần trên bốn trụ dẫn hướng; Bố ở tay nắm đệm phía trên; Meo đứng cạnh dấu khe ray</x:v>
      </x:c>
      <x:c r="L14" s="27" t="str">
        <x:v>Ấn lệch tâm làm phím nghiêng và kẹt, còn ấn đúng tâm làm bốn khe đều nhau và phím hạ sâu hơn</x:v>
      </x:c>
      <x:c r="M14" s="27" t="str">
        <x:v>So sánh khe dẫn hướng không đều với đều và xác định tâm là điểm ấn hữu ích</x:v>
      </x:c>
      <x:c r="N14" s="27" t="str">
        <x:v>Ấn phím khổng lồ tại các vị trí an toàn khác nhau và giữ yên để so sánh</x:v>
      </x:c>
      <x:c r="O14" s="27" t="str">
        <x:v>Phím đã hạ một phần, một góc thấp hơn nhẹ; cả bốn trụ dẫn hướng vẫn nhìn thấy; chưa giải quyết</x:v>
      </x:c>
      <x:c r="P14" s="27" t="str">
        <x:v>Medium-wide góc thấp cạnh phím khổng lồ; không cắt cảnh</x:v>
      </x:c>
      <x:c r="Q14" s="27" t="str">
        <x:v>Lực lệch tâm tạo mô-men và kẹt bên; lực đúng tâm phân tải đều để keycap hạ song song theo ray</x:v>
      </x:c>
      <x:c r="R14" s="27" t="str">
        <x:v>Không thoại</x:v>
      </x:c>
      <x:c r="S14" s="27" t="str">
        <x:v>Tiếng foam kêu nhẹ; phím trượt êm; ambience Tiny World</x:v>
      </x:c>
      <x:c r="T14" s="27" t="str">
        <x:v>PASS — G-010/G-011/G-012/G-020/G-034/G-036/G-120; Tiny World scale is central, Bố indispensable, centered-loading clue visibly causal, child-safe, unresolved Part A.</x:v>
      </x:c>
      <x:c r="U14" s="27" t="str">
        <x:v>PASS — G-002/G-003/G-030/G-031/G-037/G-040/G-050/G-051/G-060/G-070/G-090/G-150/G-160/G-161/G-162/G-163/G-164; 318 words; zero at-sign characters.</x:v>
      </x:c>
      <x:c r="V14" s="27" t="str">
        <x:v>AI text audit only; visual/render audit not yet performed. USER APPROVAL pending.</x:v>
      </x:c>
      <x:c r="W14" s="28" t="str">
        <x:v>AI AUDITED</x:v>
      </x:c>
    </x:row>
    <x:row r="15" ht="330" customHeight="1">
      <x:c r="A15" s="61" t="str">
        <x:v>I001-S1-07B</x:v>
      </x:c>
      <x:c r="B15" s="27" t="str">
        <x:v>I-001</x:v>
      </x:c>
      <x:c r="C15" s="27" t="str">
        <x:v>Season 1</x:v>
      </x:c>
      <x:c r="D15" s="27" t="str">
        <x:v>7</x:v>
      </x:c>
      <x:c r="E15" s="27" t="str">
        <x:v>B</x:v>
      </x:c>
      <x:c r="F15" s="27" t="str">
        <x:v>Phím bàn phím khổng lồ</x:v>
      </x:c>
      <x:c r="G15"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low angle, keeping the giant keycap, four guide posts and center star visible. No cuts.
Setting and opening state: the giant soft toy-keyboard key is partly lowered with one corner slightly lower. All four guide posts remain visible. Bố holds the press handle. Meo stands beside the center star and guide-gap marks, outside the key footprint.
0–2s: Meo points to the center star, then the four unequal gaps, signaling Bố to move his hands toward the middle.
2–7s: Bố centers both hands and presses downward. The tilted corner returns into alignment as the keycap settles parallel to the foam base. Meo watches all four guide gaps become equal and signals him to continue. The key slides smoothly down the posts.
7–9s: the cap reaches a padded stop. Bố holds it there and seats the handle into a soft center catch.
9–10s: the star-shaped inset glows warmly. Meo says in Vietnamese, with a pleased five-year-old voice: “Bố ơi, nút xuống thẳng rồi!” Keep the exact wording; do not translate it.
Physics: centered downward force distributes load across all four guides, removing sideways torque and allowing parallel motion.
Audio: smooth key slide, soft stop tap, gentle chime, one short dialogue line.
Constraints: exact A-to-B continuity; preserve identity, age and clothing; lightweight rounded toy-keyboard module only; hands stay on padded handles and outside moving gaps; enclosed soft light only; stable ground; no climbing, pinching, electrical exposure, falls, insects approaching, extra characters, dangerous motion, cuts or text.</x:v>
      </x:c>
      <x:c r="H15" s="27" t="str">
        <x:v>Tải lực vào tâm + suy luận nhân quả về kẹt ray</x:v>
      </x:c>
      <x:c r="I15" s="27" t="str">
        <x:v>Tự hào khi cùng làm một cơ cấu khổng lồ chuyển động mượt</x:v>
      </x:c>
      <x:c r="J15" s="27" t="str">
        <x:v>Cùng phím bàn phím đồ chơi mềm khổng lồ trong Tiny World</x:v>
      </x:c>
      <x:c r="K15" s="27" t="str">
        <x:v>Phím đã hạ một phần, một góc hơi thấp; Bố giữ tay nắm ấn; Meo đứng cạnh dấu tâm và khe ray</x:v>
      </x:c>
      <x:c r="L15" s="27" t="str">
        <x:v>Meo hướng dẫn Bố đưa lực về tâm để phím thẳng lại và trượt đều xuống cả bốn trụ</x:v>
      </x:c>
      <x:c r="M15" s="27" t="str">
        <x:v>Theo dõi cả bốn khe dẫn hướng, ra hiệu điểm ấn chính giữa và đánh dấu điểm dừng</x:v>
      </x:c>
      <x:c r="N15" s="27" t="str">
        <x:v>Đặt hai tay đúng tâm, ấn thẳng xuống và khóa tay nắm đệm tại điểm dừng</x:v>
      </x:c>
      <x:c r="O15" s="27" t="str">
        <x:v>Phím hạ hoàn toàn và thẳng hàng; hình ngôi sao phát sáng ấm; kết thúc tích cực</x:v>
      </x:c>
      <x:c r="P15" s="27" t="str">
        <x:v>Cùng góc medium-wide để giữ continuity; không cắt cảnh</x:v>
      </x:c>
      <x:c r="Q15" s="27" t="str">
        <x:v>Lực thẳng xuống đúng tâm loại bỏ mô-men ngang, cân tải trên các ray và cho phép phím hạ song song</x:v>
      </x:c>
      <x:c r="R15" s="27" t="str">
        <x:v>Meo: “Bố ơi, nút xuống thẳng rồi!”</x:v>
      </x:c>
      <x:c r="S15" s="27" t="str">
        <x:v>Phím trượt mượt; tiếng chạm điểm dừng nhẹ; chuông êm; thoại ngắn</x:v>
      </x:c>
      <x:c r="T15" s="27" t="str">
        <x:v>PASS — G-010/G-011/G-012/G-020/G-034/G-036/G-120; exact A→B handoff, Bố indispensable, Meo applies the centered-loading clue and the giant key descends safely.</x:v>
      </x:c>
      <x:c r="U15" s="27" t="str">
        <x:v>PASS — G-002/G-003/G-030/G-031/G-037/G-040/G-050/G-051/G-060/G-070/G-080/G-081/G-090/G-150/G-160/G-161/G-162/G-163/G-164; 320 words; zero at-sign characters.</x:v>
      </x:c>
      <x:c r="V15" s="27" t="str">
        <x:v>AI text audit only; visual/render audit not yet performed. USER APPROVAL pending.</x:v>
      </x:c>
      <x:c r="W15" s="28" t="str">
        <x:v>AI AUDITED</x:v>
      </x:c>
    </x:row>
    <x:row r="16" ht="330" customHeight="1">
      <x:c r="A16" s="61" t="str">
        <x:v>I001-S1-08A</x:v>
      </x:c>
      <x:c r="B16" s="27" t="str">
        <x:v>I-001</x:v>
      </x:c>
      <x:c r="C16" s="27" t="str">
        <x:v>Season 1</x:v>
      </x:c>
      <x:c r="D16" s="27" t="str">
        <x:v>8</x:v>
      </x:c>
      <x:c r="E16" s="27" t="str">
        <x:v>A</x:v>
      </x:c>
      <x:c r="F16" s="27" t="str">
        <x:v>Tàu đồ chơi nam châm</x:v>
      </x:c>
      <x:c r="G16"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two giant wooden toy train cars on a fixed floor track. No cuts.
Setting: inside the Tiny World, the train cars are large but remain on low guide rails. Their rounded magnetic couplers are fully enclosed inside padded colored drums. Bố holds a push handle on the rear car and a rotation handle on its coupler. Meo stands behind a low safety line.
0–2s: Bố rolls the rear car toward the front car. Before the couplers touch, the rear car gently rolls backward as the enclosed magnets repel.
2–7s: Bố stops the car and rotates the rear coupler partway. He tries again. Repulsion weakens and the gap becomes smaller, but the cars still do not connect. Meo watches the colored halves change orientation and compares the larger first gap with the smaller second gap.
7–9s: Meo points in the same rotation direction, then toward the opposite-colored half of the front coupler. Bố holds the rear car still with the drum halfway turned.
9–10s: the cars remain separated by a small safe gap. End unresolved.
Physics: like magnetic poles repel; rotating the enclosed coupler changes its pole orientation, reducing repulsion as it approaches the opposite-pole position.
Audio: wooden wheel roll, magnetic hum, track clicks, tiny-world ambience. No dialogue.
Constraints: preserve identity, age and clothing; magnets fully enclosed; fixed low track; Meo never touches couplers or stands between cars; no pinching, derailment, climbing, falls, insects approaching, extra characters, dangerous motion, cuts or text.</x:v>
      </x:c>
      <x:c r="H16" s="27" t="str">
        <x:v>Cực từ + suy luận về hướng</x:v>
      </x:c>
      <x:c r="I16" s="27" t="str">
        <x:v>Bất ngờ chuyển thành quan sát nhân quả tự tin</x:v>
      </x:c>
      <x:c r="J16" s="27" t="str">
        <x:v>Hai toa tàu đồ chơi gỗ khổng lồ trên ray cố định thấp trong Tiny World</x:v>
      </x:c>
      <x:c r="K16" s="27" t="str">
        <x:v>Hai toa tách nhau; khớp nối nam châm kín đang đẩy nhau; Bố ở tay nắm đẩy và xoay; Meo đứng sau vạch an toàn</x:v>
      </x:c>
      <x:c r="L16" s="27" t="str">
        <x:v>Cùng cực đẩy nhau; xoay khớp nối sau làm đổi hướng cực và khoảng cách giảm thấy rõ</x:v>
      </x:c>
      <x:c r="M16" s="27" t="str">
        <x:v>So sánh lực đẩy mạnh/yếu và xác định chiều xoay hướng tới hai cực trái dấu</x:v>
      </x:c>
      <x:c r="N16" s="27" t="str">
        <x:v>Lăn toa sau, xoay trống khớp nối có đệm và giữ toa ở vị trí xoay nửa chừng</x:v>
      </x:c>
      <x:c r="O16" s="27" t="str">
        <x:v>Hai toa vẫn cách nhau một khe nhỏ an toàn; khớp nối sau xoay nửa chừng; chưa giải quyết</x:v>
      </x:c>
      <x:c r="P16" s="27" t="str">
        <x:v>Medium-wide three-quarter ở tầm đất tí hon cạnh ray cố định; không cắt cảnh</x:v>
      </x:c>
      <x:c r="Q16" s="27" t="str">
        <x:v>Cùng cực từ đẩy nhau; xoay khớp nối làm đổi hướng cực và giảm lực đẩy khi tiến tới vị trí trái cực</x:v>
      </x:c>
      <x:c r="R16" s="27" t="str">
        <x:v>Không thoại</x:v>
      </x:c>
      <x:c r="S16" s="27" t="str">
        <x:v>Bánh xe gỗ lăn; tiếng ù nam châm; tiếng ray lách cách; ambience Tiny World</x:v>
      </x:c>
      <x:c r="T16" s="27" t="str">
        <x:v>PASS — G-010/G-011/G-012/G-020/G-034/G-036/G-120; Tiny World toy scale is central, Bố indispensable, magnetic-polarity clue visible, child-safe, unresolved Part A.</x:v>
      </x:c>
      <x:c r="U16" s="27" t="str">
        <x:v>PASS — G-002/G-003/G-030/G-031/G-037/G-040/G-050/G-051/G-060/G-070/G-090/G-150/G-160/G-161/G-162/G-163/G-164; 320 words; zero at-sign characters.</x:v>
      </x:c>
      <x:c r="V16" s="27" t="str">
        <x:v>AI text audit only; visual/render audit not yet performed. USER APPROVAL pending.</x:v>
      </x:c>
      <x:c r="W16" s="28" t="str">
        <x:v>AI AUDITED</x:v>
      </x:c>
    </x:row>
    <x:row r="17" ht="330" customHeight="1">
      <x:c r="A17" s="61" t="str">
        <x:v>I001-S1-08B</x:v>
      </x:c>
      <x:c r="B17" s="27" t="str">
        <x:v>I-001</x:v>
      </x:c>
      <x:c r="C17" s="27" t="str">
        <x:v>Season 1</x:v>
      </x:c>
      <x:c r="D17" s="27" t="str">
        <x:v>8</x:v>
      </x:c>
      <x:c r="E17" s="27" t="str">
        <x:v>B</x:v>
      </x:c>
      <x:c r="F17" s="27" t="str">
        <x:v>Tàu đồ chơi nam châm</x:v>
      </x:c>
      <x:c r="G17"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miniature-ground angle, keeping both train cars, the gap and rear coupler visible. No cuts.
Opening state: the toy train cars remain separated by a safe gap on fixed low rails. The rear coupler is halfway turned. Bố holds the push handle and coupler rotation handle. Meo stands behind the safety line.
0–2s: Meo points in the rotation direction, then to the opposite-colored face on the front coupler. Bố holds the rear car still.
2–7s: Bố rotates the rear coupler the rest of the way. Opposite colors face each other. Meo signals ready. Bố releases the rotation handle and rolls the rear car forward. Instead of repelling, the couplers attract across the last gap and meet with a soft padded click.
7–9s: Bố stops the car and locks the push handle into a low track catch. The cars remain joined while Meo checks the aligned halves from behind the safety line.
9–10s: a tiny flag lifts. Meo says in Vietnamese, with a delighted five-year-old voice: “Bố ơi, hai toa hút nhau rồi!” Keep the exact wording; do not translate it.
Physics: rotating the enclosed coupler places opposite magnetic poles face to face; opposite poles attract and pull the padded couplers together.
Audio: wheel roll, magnetic hum, padded click, chime, one short dialogue line.
Constraints: exact A-to-B continuity; preserve identity, age and clothing; magnets stay fully enclosed; fixed low track; Meo never touches couplers or stands between cars; no pinching, derailment, climbing, falls, insects approaching, extra characters, dangerous motion, cuts or text.</x:v>
      </x:c>
      <x:c r="H17" s="27" t="str">
        <x:v>Cực từ + suy luận về hướng</x:v>
      </x:c>
      <x:c r="I17" s="27" t="str">
        <x:v>Vui khi cùng biến lực đẩy thành kết nối</x:v>
      </x:c>
      <x:c r="J17" s="27" t="str">
        <x:v>Cùng hai toa tàu đồ chơi gỗ khổng lồ trên ray cố định thấp trong Tiny World</x:v>
      </x:c>
      <x:c r="K17" s="27" t="str">
        <x:v>Hai toa cách nhau một khe nhỏ an toàn; khớp nối sau xoay nửa chừng; Bố ở tay nắm; Meo đứng sau vạch an toàn</x:v>
      </x:c>
      <x:c r="L17" s="27" t="str">
        <x:v>Meo hướng dẫn xoay khớp nối đến vị trí hai cực trái dấu, rồi Bố lăn toa sau cho đến khi hai khớp hút và nối nhau</x:v>
      </x:c>
      <x:c r="M17" s="27" t="str">
        <x:v>Theo dõi màu định hướng, ra hiệu vòng xoay cuối và kiểm tra hai khớp đã thẳng hàng</x:v>
      </x:c>
      <x:c r="N17" s="27" t="str">
        <x:v>Hoàn tất xoay khớp nối, lăn toa sau tiến lên và khóa tay nắm đẩy vào chốt ray</x:v>
      </x:c>
      <x:c r="O17" s="27" t="str">
        <x:v>Hai toa nối nhau bằng khớp đệm kín; cờ nhỏ bật lên; kết thúc tích cực</x:v>
      </x:c>
      <x:c r="P17" s="27" t="str">
        <x:v>Cùng góc medium-wide để giữ continuity; không cắt cảnh</x:v>
      </x:c>
      <x:c r="Q17" s="27" t="str">
        <x:v>Hai cực trái dấu hút nhau, kéo các khớp nối đệm kín lại gần qua khe cuối</x:v>
      </x:c>
      <x:c r="R17" s="27" t="str">
        <x:v>Meo: “Bố ơi, hai toa hút nhau rồi!”</x:v>
      </x:c>
      <x:c r="S17" s="27" t="str">
        <x:v>Bánh xe lăn; tiếng ù nam châm; tiếng khớp đệm; chuông; thoại ngắn</x:v>
      </x:c>
      <x:c r="T17" s="27" t="str">
        <x:v>PASS — G-010/G-011/G-012/G-020/G-034/G-036/G-120; exact A→B handoff, Bố indispensable, Meo applies the magnetic-polarity clue and the giant toy train joins safely.</x:v>
      </x:c>
      <x:c r="U17" s="27" t="str">
        <x:v>PASS — G-002/G-003/G-030/G-031/G-037/G-040/G-050/G-051/G-060/G-070/G-080/G-081/G-090/G-150/G-160/G-161/G-162/G-163/G-164; 320 words; zero at-sign characters.</x:v>
      </x:c>
      <x:c r="V17" s="27" t="str">
        <x:v>AI text audit only; visual/render audit not yet performed. USER APPROVAL pending.</x:v>
      </x:c>
      <x:c r="W17" s="28" t="str">
        <x:v>AI AUDITED</x:v>
      </x:c>
    </x:row>
    <x:row r="18" ht="330" customHeight="1">
      <x:c r="A18" s="61" t="str">
        <x:v>I001-S1-09A</x:v>
      </x:c>
      <x:c r="B18" s="27" t="str">
        <x:v>I-001</x:v>
      </x:c>
      <x:c r="C18" s="27" t="str">
        <x:v>Season 1</x:v>
      </x:c>
      <x:c r="D18" s="27" t="str">
        <x:v>9</x:v>
      </x:c>
      <x:c r="E18" s="27" t="str">
        <x:v>A</x:v>
      </x:c>
      <x:c r="F18" s="27" t="str">
        <x:v>Bông hoa lên dây cót</x:v>
      </x:c>
      <x:c r="G18"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low-angle shot beside a giant wind-up toy flower inside the Tiny World. No cuts.
Setting: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0–2s: Bố turns the key gently counterclockwise. The key moves, but the spindle freewheels and the petals do not change.
2–7s: Bố turns clockwise. The pawl catches a ratchet tooth with a soft click; the spindle advances and one petal opens slightly. He tests counterclockwise again; the key moves without advancing the ratchet. Meo compares the freewheel with the clicking direction and watches the tooth move only clockwise.
7–9s: Meo points to the sloped ratchet teeth, then traces the clockwise arrow. Bố holds the key still after one engaged click.
9–10s: the flower remains mostly closed, with one petal slightly open. End unresolved.
Physics: the pawl engages the ratchet teeth in one direction, advancing the spindle tooth by tooth; the opposite direction freewheels without back-driving it.
Audio: soft key turn, gentle ratchet clicks, tiny-world ambience. No dialogue.
Constraints: preserve identity, age and clothing; all gears fully covered; slow manual movement only; no spring release, pinching gaps, climbing, falls, insects approaching, extra characters, dangerous motion, cuts or text.</x:v>
      </x:c>
      <x:c r="H18" s="27" t="str">
        <x:v>Bánh cóc một chiều + suy luận nhân quả về chốt hãm</x:v>
      </x:c>
      <x:c r="I18" s="27" t="str">
        <x:v>Tò mò chuyển thành đọc cơ cấu tự tin</x:v>
      </x:c>
      <x:c r="J18" s="27" t="str">
        <x:v>Bông hoa đồ chơi lên dây cót khổng lồ giữa các khối gỗ và sợi thảm trong Tiny World</x:v>
      </x:c>
      <x:c r="K18" s="27" t="str">
        <x:v>Hoa gần như khép; bánh cóc có nắp che nhìn thấy được; Bố ở chìa vặn đệm; Meo đứng cạnh mũi tên hướng</x:v>
      </x:c>
      <x:c r="L18" s="27" t="str">
        <x:v>Một chiều vặn quay trơn không tác dụng, chiều còn lại ăn vào chốt hãm và mở cánh hoa từng răng</x:v>
      </x:c>
      <x:c r="M18" s="27" t="str">
        <x:v>So sánh tiếng click khi quay trơn và khi ăn khớp, rồi xác định chiều bánh cóc tạo chuyển động</x:v>
      </x:c>
      <x:c r="N18" s="27" t="str">
        <x:v>Vặn chìa đệm theo cả hai chiều và giữ lại sau một lần click ăn khớp</x:v>
      </x:c>
      <x:c r="O18" s="27" t="str">
        <x:v>Hoa gần như khép, một cánh mở nhẹ; bánh cóc đã ăn một nấc; chưa giải quyết</x:v>
      </x:c>
      <x:c r="P18" s="27" t="str">
        <x:v>Medium-wide góc thấp cạnh bông hoa đồ chơi khổng lồ; không cắt cảnh</x:v>
      </x:c>
      <x:c r="Q18" s="27" t="str">
        <x:v>Chốt hãm ăn răng bánh cóc theo một chiều để tiến trục; chiều ngược quay trơn và không kéo ngược cơ cấu</x:v>
      </x:c>
      <x:c r="R18" s="27" t="str">
        <x:v>Không thoại</x:v>
      </x:c>
      <x:c r="S18" s="27" t="str">
        <x:v>Tiếng vặn chìa nhẹ; click bánh cóc; ambience Tiny World</x:v>
      </x:c>
      <x:c r="T18" s="27" t="str">
        <x:v>PASS — G-010/G-011/G-012/G-020/G-034/G-036/G-120; Tiny World scale central, Bố indispensable, ratchet-direction clue visibly causal, child-safe, unresolved Part A.</x:v>
      </x:c>
      <x:c r="U18" s="27" t="str">
        <x:v>PASS — G-002/G-003/G-030/G-031/G-037/G-040/G-050/G-051/G-060/G-070/G-090/G-150/G-160/G-161/G-162/G-163/G-164; 305 words; zero at-sign characters.</x:v>
      </x:c>
      <x:c r="V18" s="27" t="str">
        <x:v>AI text audit only; visual/render audit not yet performed. USER APPROVAL pending.</x:v>
      </x:c>
      <x:c r="W18" s="28" t="str">
        <x:v>AI AUDITED</x:v>
      </x:c>
    </x:row>
    <x:row r="19" ht="330" customHeight="1">
      <x:c r="A19" s="61" t="str">
        <x:v>I001-S1-09B</x:v>
      </x:c>
      <x:c r="B19" s="27" t="str">
        <x:v>I-001</x:v>
      </x:c>
      <x:c r="C19" s="27" t="str">
        <x:v>Season 1</x:v>
      </x:c>
      <x:c r="D19" s="27" t="str">
        <x:v>9</x:v>
      </x:c>
      <x:c r="E19" s="27" t="str">
        <x:v>B</x:v>
      </x:c>
      <x:c r="F19" s="27" t="str">
        <x:v>Bông hoa lên dây cót</x:v>
      </x:c>
      <x:c r="G19"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low angle, keeping the toy flower, winding key and ratchet window visible. No cuts.
Setting and opening state: the wind-up flower stands on its foam base. Most petals remain closed; one petal is slightly open. Bố holds the key after one engaged clockwise click. Meo stands beside the direction arrows.
0–2s: Meo points to the clockwise arrow and the ratchet tooth currently beside the reference mark. Bố keeps the key steady.
2–7s: Bố turns the padded key slowly clockwise through several short arcs. Each turn makes the covered pawl click over one rounded tooth and advances the spindle. Meo watches the petals open farther with every engaged click and signals him to continue. Nothing snaps or releases suddenly.
7–9s: when the final petal reaches the same angle as the others, Meo signals stop. Bố seats the winding key into a padded resting notch.
9–10s: the giant toy flower glows from an enclosed center. Meo says in Vietnamese, with a delighted five-year-old voice: “Bố ơi, bông hoa mở hết rồi!” Keep the exact wording; do not translate it.
Physics: one-way ratchet engagement converts each clockwise key turn into a small spindle advance while preventing reverse motion; repeated advances open the petals progressively.
Audio: gentle ratchet clicks, soft petal flex, tiny-world chime, one short dialogue line.
Constraints: exact A-to-B continuity; preserve identity, age and clothing; all gears fully covered; enclosed soft light only; slow manual movement; no spring release, pinching gaps, climbing, falls, insects approaching, extra characters, dangerous motion, cuts or text.</x:v>
      </x:c>
      <x:c r="H19" s="27" t="str">
        <x:v>Bánh cóc một chiều + suy luận nhân quả về chốt hãm</x:v>
      </x:c>
      <x:c r="I19" s="27" t="str">
        <x:v>Vui khi làm một cơ cấu khổng lồ nở hoa</x:v>
      </x:c>
      <x:c r="J19" s="27" t="str">
        <x:v>Cùng bông hoa đồ chơi lên dây cót khổng lồ trong Tiny World</x:v>
      </x:c>
      <x:c r="K19" s="27" t="str">
        <x:v>Hoa gần như khép; một cánh mở nhẹ; Bố giữ chìa sau một click theo chiều ăn khớp; Meo đứng cạnh mũi tên</x:v>
      </x:c>
      <x:c r="L19" s="27" t="str">
        <x:v>Meo hướng dẫn lặp lại chiều xoay ăn khớp, Bố vặn chìa cho đến khi toàn bộ cánh mở đều</x:v>
      </x:c>
      <x:c r="M19" s="27" t="str">
        <x:v>Theo dõi từng bước bánh cóc, ra hiệu đúng chiều ăn khớp và đánh dấu điểm dừng cuối</x:v>
      </x:c>
      <x:c r="N19" s="27" t="str">
        <x:v>Vặn chìa đệm theo chiều kim đồng hồ bằng các cung ngắn có kiểm soát rồi đặt vào rãnh nghỉ</x:v>
      </x:c>
      <x:c r="O19" s="27" t="str">
        <x:v>Tất cả cánh mở đều; tâm kín phát sáng; kết thúc tích cực</x:v>
      </x:c>
      <x:c r="P19" s="27" t="str">
        <x:v>Cùng góc medium-wide để giữ continuity; không cắt cảnh</x:v>
      </x:c>
      <x:c r="Q19" s="27" t="str">
        <x:v>Bánh cóc ăn một chiều lặp lại sẽ tiến trục nhưng chặn chuyển động ngược, nên cánh hoa mở dần</x:v>
      </x:c>
      <x:c r="R19" s="27" t="str">
        <x:v>Meo: “Bố ơi, bông hoa mở hết rồi!”</x:v>
      </x:c>
      <x:c r="S19" s="27" t="str">
        <x:v>Click bánh cóc nhẹ; cánh hoa uốn mềm; chuông Tiny World; thoại ngắn</x:v>
      </x:c>
      <x:c r="T19" s="27" t="str">
        <x:v>PASS — G-010/G-011/G-012/G-020/G-034/G-036/G-120; exact A→B handoff, Bố indispensable, Meo applies the ratchet-direction clue and petals open progressively.</x:v>
      </x:c>
      <x:c r="U19" s="27" t="str">
        <x:v>PASS — G-002/G-003/G-030/G-031/G-037/G-040/G-050/G-051/G-060/G-070/G-080/G-081/G-090/G-150/G-160/G-161/G-162/G-163/G-164; 320 words; zero at-sign characters.</x:v>
      </x:c>
      <x:c r="V19" s="27" t="str">
        <x:v>AI text audit only; visual/render audit not yet performed. USER APPROVAL pending.</x:v>
      </x:c>
      <x:c r="W19" s="28" t="str">
        <x:v>AI AUDITED</x:v>
      </x:c>
    </x:row>
    <x:row r="20" ht="330" customHeight="1">
      <x:c r="A20" s="61" t="str">
        <x:v>I001-S1-10A</x:v>
      </x:c>
      <x:c r="B20" s="27" t="str">
        <x:v>I-001</x:v>
      </x:c>
      <x:c r="C20" s="27" t="str">
        <x:v>Season 1</x:v>
      </x:c>
      <x:c r="D20" s="27" t="str">
        <x:v>10</x:v>
      </x:c>
      <x:c r="E20" s="27" t="str">
        <x:v>A</x:v>
      </x:c>
      <x:c r="F20" s="27" t="str">
        <x:v>Câu đố đường về nhà</x:v>
      </x:c>
      <x:c r="G20"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overhead three-quarter shot of a sliding-block wall at the edge of the Tiny World. No cuts.
Setting: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0–2s: Bố tries to slide the center block toward the visible door outline. It cannot move because another block occupies the next square.
2–7s: Bố tests the block directly beside the empty square. It slides smoothly into the gap, and the empty square relocates to its previous position. Meo watches the gap move rather than disappear. Bố tests a non-adjacent block; it stays blocked. Meo compares the results and traces a short route for the empty square toward the door.
7–9s: Meo points from the current empty square to the next adjacent block. Bố holds all blocks still.
9–10s: the door remains mostly covered, but the empty square is now one step closer to center. End unresolved.
Physics: only a block directly adjacent to the empty square can slide into it; each successful move relocates the empty space and enables a new neighboring move.
Audio: soft foam slides, rail taps, warm playroom ambience. No dialogue.
Constraints: preserve identity, age and clothing; lightweight foam blocks only; low floor rails; no lifting blocks, climbing, trapping, pinching, falls, insects approaching, extra characters, dangerous motion, cuts or text.</x:v>
      </x:c>
      <x:c r="H20" s="27" t="str">
        <x:v>Ràng buộc khối trượt + sắp xếp theo ô trống</x:v>
      </x:c>
      <x:c r="I20" s="27" t="str">
        <x:v>Giải quyết vấn đề tập trung chuyển thành nhận ra hướng đi đầy hy vọng</x:v>
      </x:c>
      <x:c r="J20" s="27" t="str">
        <x:v>Bức tường khối trượt khổng lồ che Tiny Door ở rìa Tiny World</x:v>
      </x:c>
      <x:c r="K20" s="27" t="str">
        <x:v>Lưới khối foam có một ô trống; Tiny Door lộ một phần phía sau; Bố ở tay nắm khối; Meo đứng ngoài ray</x:v>
      </x:c>
      <x:c r="L20" s="27" t="str">
        <x:v>Chỉ khối kề ô trống mới di chuyển được; mỗi lần trượt đúng sẽ chuyển vị trí ô trống và đổi khối có thể di chuyển tiếp</x:v>
      </x:c>
      <x:c r="M20" s="27" t="str">
        <x:v>Theo dõi ô trống đang dịch chuyển và vạch chuỗi bước có thể dần mở lối về nhà</x:v>
      </x:c>
      <x:c r="N20" s="27" t="str">
        <x:v>Thử các khối foam đang bị chặn và khối kề ô trống, rồi giữ chúng ổn định để Meo quyết định đường đi</x:v>
      </x:c>
      <x:c r="O20" s="27" t="str">
        <x:v>Cửa vẫn bị che phần lớn; ô trống đã tiến một bước gần tâm hơn; chưa giải quyết</x:v>
      </x:c>
      <x:c r="P20" s="27" t="str">
        <x:v>Three-quarter từ trên cao nhìn tường khối trượt; không cắt cảnh</x:v>
      </x:c>
      <x:c r="Q20" s="27" t="str">
        <x:v>Một khối chỉ trượt vào ô trống kề bên; mỗi lần trượt chuyển ô trống và mở ra một nước đi mới ở vị trí lân cận</x:v>
      </x:c>
      <x:c r="R20" s="27" t="str">
        <x:v>Không thoại</x:v>
      </x:c>
      <x:c r="S20" s="27" t="str">
        <x:v>Khối foam trượt nhẹ; tiếng chạm ray; ambience phòng chơi ấm</x:v>
      </x:c>
      <x:c r="T20" s="27" t="str">
        <x:v>PASS — G-010/G-011/G-012/G-020/G-034/G-036/G-120; finale returns to Tiny Door, Bố indispensable, empty-space sequencing visibly causal, child-safe, unresolved Part A.</x:v>
      </x:c>
      <x:c r="U20" s="27" t="str">
        <x:v>PASS — G-002/G-003/G-030/G-031/G-037/G-040/G-050/G-051/G-060/G-070/G-090/G-150/G-160/G-161/G-162/G-163/G-164; 320 words; zero at-sign characters.</x:v>
      </x:c>
      <x:c r="V20" s="27" t="str">
        <x:v>AI text audit only; visual/render audit not yet performed. USER APPROVAL pending.</x:v>
      </x:c>
      <x:c r="W20" s="28" t="str">
        <x:v>AI AUDITED</x:v>
      </x:c>
    </x:row>
    <x:row r="21" ht="330" customHeight="1">
      <x:c r="A21" s="62" t="str">
        <x:v>I001-S1-10B</x:v>
      </x:c>
      <x:c r="B21" s="31" t="str">
        <x:v>I-001</x:v>
      </x:c>
      <x:c r="C21" s="31" t="str">
        <x:v>Season 1</x:v>
      </x:c>
      <x:c r="D21" s="31" t="str">
        <x:v>10</x:v>
      </x:c>
      <x:c r="E21" s="31" t="str">
        <x:v>B</x:v>
      </x:c>
      <x:c r="F21" s="31" t="str">
        <x:v>Câu đố đường về nhà</x:v>
      </x:c>
      <x:c r="G21" s="31"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continuity shot from the same overhead angle, keeping the sliding-block grid, current empty square and partly hidden Tiny Door visible. No cuts.
Setting and opening state: The empty square is one step nearer center with the gap visible. The Tiny Door is still mostly covered, with warm playroom light visible through a gap. Bố holds padded block handles. Meo stands outside the rails.
0–2s: Meo points from the current empty square to the adjacent block on her traced route. Bố grips its padded handle.
2–7s: Meo’s signals guide Bố as he slides one adjacent block into the gap, then a second, then a third. The gap travels toward the door while Meo tracks it.
7–9s: Meo signals the final move. Bố slides the last lightweight block sideways into the empty square, uncovering the Tiny Door. It is already open, showing the playroom carpet beyond.
9–10s: warm light fills the frame. Meo says in Vietnamese, with a joyful five-year-old voice: “Bố ơi, đường về nhà mở rồi!” Keep the exact wording; do not translate it.
Physics: each block can move only into the adjacent empty square; sequencing those moves transports the empty space through the grid until the doorway is uncovered.
Audio: soft foam slides, gentle rail taps, warm home chime, one short dialogue line.
Constraints: exact A-to-B continuity; preserve identity, age and clothing; lightweight foam blocks only; low floor rails; Tiny Door safely open; no lifting blocks, climbing, trapping, pinching, falls, insects approaching, extra characters, dangerous motion, cuts or text.</x:v>
      </x:c>
      <x:c r="H21" s="31" t="str">
        <x:v>Ràng buộc khối trượt + sắp xếp theo ô trống</x:v>
      </x:c>
      <x:c r="I21" s="31" t="str">
        <x:v>Khép lại vui vẻ nhờ phối hợp và tìm được đường về nhà</x:v>
      </x:c>
      <x:c r="J21" s="31" t="str">
        <x:v>Cùng bức tường khối trượt khổng lồ và Tiny Door đang lộ một phần</x:v>
      </x:c>
      <x:c r="K21" s="31" t="str">
        <x:v>Ô trống đã gần tâm hơn một bước; Tiny Door vẫn bị che phần lớn; Bố ở tay nắm; Meo đứng ngoài ray</x:v>
      </x:c>
      <x:c r="L21" s="31" t="str">
        <x:v>Meo hướng dẫn một chuỗi nước đi kề ô trống, Bố trượt các khối foam cho đến khi Tiny Door lộ hoàn toàn</x:v>
      </x:c>
      <x:c r="M21" s="31" t="str">
        <x:v>Theo dõi ô trống sau mỗi nước, ra hiệu khối kề tiếp theo và đánh dấu nước cuối mở cửa</x:v>
      </x:c>
      <x:c r="N21" s="31" t="str">
        <x:v>Trượt từng khối nhẹ vào ô trống hiện tại theo đúng chuỗi Meo chỉ</x:v>
      </x:c>
      <x:c r="O21" s="31" t="str">
        <x:v>Tiny Door lộ hoàn toàn và đã mở sang phòng chơi bình thường; kết thúc ấm áp</x:v>
      </x:c>
      <x:c r="P21" s="31" t="str">
        <x:v>Cùng góc từ trên cao để giữ continuity; không cắt cảnh</x:v>
      </x:c>
      <x:c r="Q21" s="31" t="str">
        <x:v>Chuỗi trượt các khối kề nhau sẽ đưa ô trống xuyên qua lưới cho đến khi khối che cửa có thể trượt sang bên</x:v>
      </x:c>
      <x:c r="R21" s="31" t="str">
        <x:v>Meo: “Bố ơi, đường về nhà mở rồi!”</x:v>
      </x:c>
      <x:c r="S21" s="31" t="str">
        <x:v>Khối foam trượt nhẹ; tiếng chạm ray; chuông về nhà ấm áp; thoại ngắn</x:v>
      </x:c>
      <x:c r="T21" s="31" t="str">
        <x:v>PASS — G-010/G-011/G-012/G-020/G-034/G-036/G-120; exact A→B handoff, Bố indispensable, Meo sequences the moving empty space to uncover the Tiny Door and close the season warmly.</x:v>
      </x:c>
      <x:c r="U21" s="31" t="str">
        <x:v>PASS — G-002/G-003/G-030/G-031/G-037/G-040/G-050/G-051/G-060/G-070/G-080/G-081/G-090/G-150/G-160/G-161/G-162/G-163/G-164; 309 words; zero at-sign characters.</x:v>
      </x:c>
      <x:c r="V21" s="31" t="str">
        <x:v>AI text audit only; visual/render audit not yet performed. USER APPROVAL pending.</x:v>
      </x:c>
      <x:c r="W21" s="32"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4" hidden="0" customWidth="1"/>
    <x:col min="2" max="2" width="12" hidden="0" customWidth="1"/>
    <x:col min="3" max="3" width="28" hidden="0" customWidth="1"/>
    <x:col min="4" max="4" width="10" hidden="0" customWidth="1"/>
    <x:col min="5" max="5" width="10" hidden="0" customWidth="1"/>
    <x:col min="6" max="6" width="10" hidden="0" customWidth="1"/>
    <x:col min="7" max="7" width="72" hidden="0" customWidth="1"/>
    <x:col min="8" max="8" width="36" hidden="0" customWidth="1"/>
    <x:col min="9" max="9" width="72" hidden="0" customWidth="1"/>
  </x:cols>
  <x:sheetData>
    <x:row r="1">
      <x:c r="A1" s="41" t="str">
        <x:v>file_name</x:v>
      </x:c>
      <x:c r="B1" s="60" t="str">
        <x:v>person</x:v>
      </x:c>
      <x:c r="C1" s="60" t="str">
        <x:v>role</x:v>
      </x:c>
      <x:c r="D1" s="60" t="str">
        <x:v>priority</x:v>
      </x:c>
      <x:c r="E1" s="60" t="str">
        <x:v>width</x:v>
      </x:c>
      <x:c r="F1" s="60" t="str">
        <x:v>height</x:v>
      </x:c>
      <x:c r="G1" s="60" t="str">
        <x:v>sha256</x:v>
      </x:c>
      <x:c r="H1" s="60" t="str">
        <x:v>source_original</x:v>
      </x:c>
      <x:c r="I1" s="42" t="str">
        <x:v>usage_note</x:v>
      </x:c>
    </x:row>
    <x:row r="2" ht="54" customHeight="1">
      <x:c r="A2" s="61" t="str">
        <x:v>P08-S01-MEO-PRIMARY.REFERENCE.png</x:v>
      </x:c>
      <x:c r="B2" s="27" t="str">
        <x:v>Meo</x:v>
      </x:c>
      <x:c r="C2" s="27" t="str">
        <x:v>primary_face_hair_only</x:v>
      </x:c>
      <x:c r="D2" s="27" t="n">
        <x:v>1</x:v>
      </x:c>
      <x:c r="E2" s="27" t="n">
        <x:v>1122</x:v>
      </x:c>
      <x:c r="F2" s="27" t="n">
        <x:v>1402</x:v>
      </x:c>
      <x:c r="G2" s="27" t="str">
        <x:v>490EE15F72FF06D97BC0DA09DA50C9AB9390EF2F2AA97221F62F36DAE16C5026</x:v>
      </x:c>
      <x:c r="H2" s="27" t="str">
        <x:v>Input content/Meo2.png</x:v>
      </x:c>
      <x:c r="I2" s="28" t="str">
        <x:v>Primary Meo face and twin-pigtail identity reference only; ignore all visible clothing.</x:v>
      </x:c>
    </x:row>
    <x:row r="3" ht="54" customHeight="1">
      <x:c r="A3" s="61" t="str">
        <x:v>P08-S01-MEO-SECONDARY.REFERENCE.png</x:v>
      </x:c>
      <x:c r="B3" s="27" t="str">
        <x:v>Meo</x:v>
      </x:c>
      <x:c r="C3" s="27" t="str">
        <x:v>secondary_face_only</x:v>
      </x:c>
      <x:c r="D3" s="27" t="n">
        <x:v>2</x:v>
      </x:c>
      <x:c r="E3" s="27" t="n">
        <x:v>1024</x:v>
      </x:c>
      <x:c r="F3" s="27" t="n">
        <x:v>1536</x:v>
      </x:c>
      <x:c r="G3" s="27" t="str">
        <x:v>FC0E0E4FD7D6924DDDDDE03D82CF19DC68DAEF1C14DC18972F9DE781C6CCC77D</x:v>
      </x:c>
      <x:c r="H3" s="27" t="str">
        <x:v>Input content/Meo1.png</x:v>
      </x:c>
      <x:c r="I3" s="28" t="str">
        <x:v>Secondary face confirmation only; ignore all visible clothing and accessories.</x:v>
      </x:c>
    </x:row>
    <x:row r="4" ht="54" customHeight="1">
      <x:c r="A4" s="61" t="str">
        <x:v>P08-S01-BO-FRONT.REFERENCE.jpg</x:v>
      </x:c>
      <x:c r="B4" s="27" t="str">
        <x:v>Bố</x:v>
      </x:c>
      <x:c r="C4" s="27" t="str">
        <x:v>primary_front_face_glasses_only</x:v>
      </x:c>
      <x:c r="D4" s="27" t="n">
        <x:v>1</x:v>
      </x:c>
      <x:c r="E4" s="27" t="n">
        <x:v>556</x:v>
      </x:c>
      <x:c r="F4" s="27" t="n">
        <x:v>989</x:v>
      </x:c>
      <x:c r="G4" s="27" t="str">
        <x:v>55DC3A0675770C35466B42B8D2D2C6F2D65259E60CDA1762A8BD3312BBBF0624</x:v>
      </x:c>
      <x:c r="H4" s="27" t="str">
        <x:v>Input content/Duc1.jpg</x:v>
      </x:c>
      <x:c r="I4" s="28" t="str">
        <x:v>Primary Bố front face and glasses reference only; ignore the navy polo and all visible clothing.</x:v>
      </x:c>
    </x:row>
    <x:row r="5" ht="54" customHeight="1">
      <x:c r="A5" s="62" t="str">
        <x:v>P08-S01-BO-SIDE.REFERENCE.jpg</x:v>
      </x:c>
      <x:c r="B5" s="31" t="str">
        <x:v>Bố</x:v>
      </x:c>
      <x:c r="C5" s="31" t="str">
        <x:v>side_face_hair_glasses_only</x:v>
      </x:c>
      <x:c r="D5" s="31" t="n">
        <x:v>2</x:v>
      </x:c>
      <x:c r="E5" s="31" t="n">
        <x:v>556</x:v>
      </x:c>
      <x:c r="F5" s="31" t="n">
        <x:v>989</x:v>
      </x:c>
      <x:c r="G5" s="31" t="str">
        <x:v>708022A6BF3078F2B53742C5840C693837C1705AE41606BF41FA5BE0F941F67A</x:v>
      </x:c>
      <x:c r="H5" s="31" t="str">
        <x:v>Input content/Duc2.jpg</x:v>
      </x:c>
      <x:c r="I5" s="32" t="str">
        <x:v>Bố side profile, hair direction and glasses geometry reference only; ignore all visible clothing.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48" hidden="0" customWidth="1"/>
  </x:cols>
  <x:sheetData>
    <x:row r="1">
      <x:c r="A1" s="5" t="str">
        <x:v>Pilot 8 S1_01 Package QC</x:v>
      </x:c>
      <x:c r="B1" s="5"/>
      <x:c r="C1" s="5"/>
    </x:row>
    <x:row r="3">
      <x:c r="A3" s="78" t="str">
        <x:v>Check</x:v>
      </x:c>
      <x:c r="B3" s="79" t="str">
        <x:v>Expected</x:v>
      </x:c>
      <x:c r="C3" s="80" t="str">
        <x:v>Actual / Formula</x:v>
      </x:c>
    </x:row>
    <x:row r="4">
      <x:c r="A4" s="81" t="str">
        <x:v>Total queue jobs</x:v>
      </x:c>
      <x:c r="B4" s="82" t="n">
        <x:v>66</x:v>
      </x:c>
      <x:c r="C4" s="83" t="n">
        <x:f>COUNTA('jobs'!$B$2:$B$67)</x:f>
        <x:v>66</x:v>
      </x:c>
    </x:row>
    <x:row r="5">
      <x:c r="A5" s="81" t="str">
        <x:v>Character concept jobs</x:v>
      </x:c>
      <x:c r="B5" s="82" t="n">
        <x:v>6</x:v>
      </x:c>
      <x:c r="C5" s="83" t="n">
        <x:f>COUNTIF('manifest'!$C$2:$C$67,"CHARACTER_CONCEPT")</x:f>
        <x:v>6</x:v>
      </x:c>
    </x:row>
    <x:row r="6">
      <x:c r="A6" s="81" t="str">
        <x:v>Storyboard jobs</x:v>
      </x:c>
      <x:c r="B6" s="82" t="n">
        <x:v>60</x:v>
      </x:c>
      <x:c r="C6" s="83" t="n">
        <x:f>COUNTIF('manifest'!$C$2:$C$67,"STORYBOARD")</x:f>
        <x:v>60</x:v>
      </x:c>
    </x:row>
    <x:row r="7">
      <x:c r="A7" s="81" t="str">
        <x:v>Source video prompts</x:v>
      </x:c>
      <x:c r="B7" s="82" t="n">
        <x:v>20</x:v>
      </x:c>
      <x:c r="C7" s="83" t="n">
        <x:f>COUNTA('source_map'!$A$2:$A$21)</x:f>
        <x:v>20</x:v>
      </x:c>
    </x:row>
    <x:row r="8">
      <x:c r="A8" s="81" t="str">
        <x:v>Frames per source video</x:v>
      </x:c>
      <x:c r="B8" s="82" t="n">
        <x:v>3</x:v>
      </x:c>
      <x:c r="C8" s="83" t="str">
        <x:v>Verified for all 20 source video IDs</x:v>
      </x:c>
    </x:row>
    <x:row r="9">
      <x:c r="A9" s="81" t="str">
        <x:v>Selected reference files</x:v>
      </x:c>
      <x:c r="B9" s="82" t="n">
        <x:v>4</x:v>
      </x:c>
      <x:c r="C9" s="83" t="n">
        <x:f>COUNTA('references'!$A$2:$A$5)</x:f>
        <x:v>4</x:v>
      </x:c>
    </x:row>
    <x:row r="10">
      <x:c r="A10" s="84" t="str">
        <x:v>Manifest PASS rows</x:v>
      </x:c>
      <x:c r="B10" s="85" t="n">
        <x:v>66</x:v>
      </x:c>
      <x:c r="C10" s="86" t="n">
        <x:f>COUNTIF('manifest'!$M$2:$M$67,"PASS")</x:f>
        <x:v>66</x:v>
      </x:c>
    </x:row>
  </x:sheetData>
  <x:mergeCells>
    <x:mergeCell ref="A1:C1"/>
  </x:mergeCells>
  <x:pageMargins left="0.7" right="0.7" top="0.75" bottom="0.75" header="0.3" footer="0.3"/>
</x:worksheet>
</file>